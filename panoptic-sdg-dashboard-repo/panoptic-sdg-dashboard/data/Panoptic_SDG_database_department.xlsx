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vmlDrawing2.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inciples" sheetId="2" state="visible" r:id="rId4"/>
    <sheet name="Sub-principles" sheetId="3" state="visible" r:id="rId5"/>
    <sheet name="Target links" sheetId="4" state="visible" r:id="rId6"/>
    <sheet name="Indicator links" sheetId="5" state="visible" r:id="rId7"/>
    <sheet name="Projects" sheetId="6" state="visible" r:id="rId8"/>
    <sheet name="Project scores" sheetId="7" state="visible" r:id="rId9"/>
    <sheet name="SDG matrix" sheetId="8" state="visible" r:id="rId10"/>
    <sheet name="SDG goals" sheetId="9" state="visible" r:id="rId11"/>
    <sheet name="Coverage summary" sheetId="10" state="visible" r:id="rId12"/>
    <sheet name="SDG target coverage" sheetId="11" state="visible" r:id="rId13"/>
    <sheet name="Cleanup log" sheetId="12" state="visible" r:id="rId14"/>
  </sheets>
  <definedNames>
    <definedName function="false" hidden="true" localSheetId="4" name="_xlnm._FilterDatabase" vbProcedure="false">'Indicator links'!$A$1:$H$104</definedName>
    <definedName function="false" hidden="true" localSheetId="6" name="_xlnm._FilterDatabase" vbProcedure="false">'Project scores'!$A$1:$G$1000</definedName>
    <definedName function="false" hidden="true" localSheetId="5" name="_xlnm._FilterDatabase" vbProcedure="false">Projects!$A$1:$K$200</definedName>
    <definedName function="false" hidden="false" localSheetId="10" name="_xlnm.Print_Titles" vbProcedure="false">'SDG target coverage'!$4:$4</definedName>
    <definedName function="false" hidden="true" localSheetId="10" name="_xlnm._FilterDatabase" vbProcedure="false">'SDG target coverage'!$A$4:$Y$173</definedName>
    <definedName function="false" hidden="true" localSheetId="2" name="_xlnm._FilterDatabase" vbProcedure="false">'Sub-principles'!$A$1:$O$11</definedName>
    <definedName function="false" hidden="true" localSheetId="3" name="_xlnm._FilterDatabase" vbProcedure="false">'Target links'!$A$1:$K$67</definedName>
    <definedName function="false" hidden="false" name="cov_rel" vbProcedure="false">'SDG target coverage'!$U$5:$U$173</definedName>
    <definedName function="false" hidden="false" name="cov_sdg" vbProcedure="false">'SDG target coverage'!$A$5:$A$173</definedName>
    <definedName function="false" hidden="false" name="cov_status" vbProcedure="false">'SDG target coverage'!$T$5:$T$173</definedName>
    <definedName function="false" hidden="false" name="cov_type" vbProcedure="false">'SDG target coverage'!$D$5:$D$173</definedName>
    <definedName function="false" hidden="false" name="il_sub" vbProcedure="false">'Indicator links'!$B$2:$B$2000</definedName>
    <definedName function="false" hidden="false" name="ps_pid" vbProcedure="false">'Project scores'!$A$2:$A$1000</definedName>
    <definedName function="false" hidden="false" name="ps_points" vbProcedure="false">'Project scores'!$G$2:$G$1000</definedName>
    <definedName function="false" hidden="false" name="ps_sub" vbProcedure="false">'Project scores'!$C$2:$C$1000</definedName>
    <definedName function="false" hidden="false" name="ps_weight" vbProcedure="false">'Project scores'!$F$2:$F$1000</definedName>
    <definedName function="false" hidden="false" name="tl_align" vbProcedure="false">'Target links'!$I$2:$I$1000</definedName>
    <definedName function="false" hidden="false" name="tl_principle" vbProcedure="false">'Target links'!$B$2:$B$1000</definedName>
    <definedName function="false" hidden="false" name="tl_sdg" vbProcedure="false">'Target links'!$D$2:$D$1000</definedName>
    <definedName function="false" hidden="false" name="tl_sub" vbProcedure="false">'Target links'!$C$2:$C$1000</definedName>
    <definedName function="false" hidden="false" name="tl_target" vbProcedure="false">'Target links'!$F$2:$F$1000</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E2" authorId="0">
      <text>
        <r>
          <rPr>
            <sz val="10"/>
            <rFont val="Arial"/>
            <family val="2"/>
          </rPr>
          <t xml:space="preserve">Weights from the department workbook, sheet 'LeU PANOPTICS TO POLCIIES', column K.</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J1" authorId="0">
      <text>
        <r>
          <rPr>
            <sz val="10"/>
            <rFont val="Arial"/>
            <family val="2"/>
          </rPr>
          <t xml:space="preserve">Score = sum of (score ÷ 5 × weight) ÷ sum of weights scored, across all evaluators. With every sub-principle scored this equals the average of the evaluators' weighted percentages.</t>
        </r>
      </text>
    </comment>
  </commentList>
</comments>
</file>

<file path=xl/sharedStrings.xml><?xml version="1.0" encoding="utf-8"?>
<sst xmlns="http://schemas.openxmlformats.org/spreadsheetml/2006/main" count="2661" uniqueCount="937">
  <si>
    <t xml:space="preserve">Panoptic SDG database: department mapping</t>
  </si>
  <si>
    <t xml:space="preserve">Consolidated 1 October 2026 as the clean source for the gigamap 3D dashboard.</t>
  </si>
  <si>
    <t xml:space="preserve">Basis</t>
  </si>
  <si>
    <t xml:space="preserve">The department workbook's 'Panoptic to SDG alignment' sheet, columns B (primary) and C (secondary): 66 target links to 35 targets across 12 SDGs.</t>
  </si>
  <si>
    <t xml:space="preserve">Removed</t>
  </si>
  <si>
    <t xml:space="preserve">The ten suggested targets, the system map v4 SDG comparison and the AU Agenda 2063 links. They stay in the comparison workbook if needed later.</t>
  </si>
  <si>
    <t xml:space="preserve">Prescripts</t>
  </si>
  <si>
    <t xml:space="preserve">The Sep 26 and 2024 prescript columns are merged into one de-duplicated list per sub-principle; acronyms MSDG, SDIP and UID confirmed by the department.</t>
  </si>
  <si>
    <t xml:space="preserve">Text</t>
  </si>
  <si>
    <t xml:space="preserve">Criterion and question wording follow the department workbook; spelling differences with the system map are resolved in its favour. Target and indicator text comes from the UNSD framework (after the 2026 refinement).</t>
  </si>
  <si>
    <t xml:space="preserve">Keys</t>
  </si>
  <si>
    <t xml:space="preserve">Sub-principle ID (PP1.1); Link ID = sub-principle|target (PP1.1|9.1); SDG number; target code; indicator code.</t>
  </si>
  <si>
    <t xml:space="preserve">Sheets</t>
  </si>
  <si>
    <t xml:space="preserve">Principles, Sub-principles, Target links (the core table), Indicator links, Projects, Project scores, SDG matrix, SDG goals, Coverage summary, SDG target coverage, Cleanup log.</t>
  </si>
  <si>
    <t xml:space="preserve">Formulas</t>
  </si>
  <si>
    <t xml:space="preserve">Counts, SDG lists and the matrix are formulas over 'Target links', so edits there flow through.</t>
  </si>
  <si>
    <t xml:space="preserve">Maintenance</t>
  </si>
  <si>
    <t xml:space="preserve">Edit this workbook only, mainly 'Target links' and 'Sub-principles'. Then run build.py, which checks the data, writes panoptic_dashboard_data.json and rebuilds the dashboard page.</t>
  </si>
  <si>
    <t xml:space="preserve">For the dashboard</t>
  </si>
  <si>
    <t xml:space="preserve">Principles → sub-principles (weights) → target links (primary/secondary) → indicators; SDG colours in 'SDG goals'.</t>
  </si>
  <si>
    <t xml:space="preserve">Scoring</t>
  </si>
  <si>
    <t xml:space="preserve">Add a project on 'Projects' (new ID), then one row per evaluator and sub-principle on 'Project scores' (score 1–5 in steps of 0.5). Score = Σ(score ÷ 5 × weight) ÷ Σ weight. 80–100% bankable portfolio; 50–79% return to step 2; below 50% rework.</t>
  </si>
  <si>
    <t xml:space="preserve">Coverage and gaps</t>
  </si>
  <si>
    <t xml:space="preserve">'SDG target coverage' lists all 169 SDG targets with the sub-principles and principles that link to each, and flags gaps. 'Coverage summary' rolls this up per SDG. Both are formulas over 'Target links'; the amber columns are for the team's gap discussion and do not change the mapping until a link is added on 'Target links'.</t>
  </si>
  <si>
    <t xml:space="preserve">Principle</t>
  </si>
  <si>
    <t xml:space="preserve">Name</t>
  </si>
  <si>
    <t xml:space="preserve">Short name</t>
  </si>
  <si>
    <t xml:space="preserve">Sub-principles</t>
  </si>
  <si>
    <t xml:space="preserve">Weight</t>
  </si>
  <si>
    <t xml:space="preserve">SDGs</t>
  </si>
  <si>
    <t xml:space="preserve">Primary SDGs</t>
  </si>
  <si>
    <t xml:space="preserve">Target links</t>
  </si>
  <si>
    <t xml:space="preserve">Indicator links</t>
  </si>
  <si>
    <t xml:space="preserve">PP1</t>
  </si>
  <si>
    <t xml:space="preserve">Innovation supporting equitable development</t>
  </si>
  <si>
    <t xml:space="preserve">Innovation</t>
  </si>
  <si>
    <t xml:space="preserve">PP2</t>
  </si>
  <si>
    <t xml:space="preserve">Resilient, sustainable and regenerative systems</t>
  </si>
  <si>
    <t xml:space="preserve">Resilience</t>
  </si>
  <si>
    <t xml:space="preserve">PP3</t>
  </si>
  <si>
    <t xml:space="preserve">Stakeholder value, trust and spatial justice</t>
  </si>
  <si>
    <t xml:space="preserve">Stakeholder value</t>
  </si>
  <si>
    <t xml:space="preserve">PP4</t>
  </si>
  <si>
    <t xml:space="preserve">Transversal planning and governance</t>
  </si>
  <si>
    <t xml:space="preserve">Governance</t>
  </si>
  <si>
    <t xml:space="preserve">Total</t>
  </si>
  <si>
    <t xml:space="preserve">Sub-principle</t>
  </si>
  <si>
    <t xml:space="preserve">Key policy criterion</t>
  </si>
  <si>
    <t xml:space="preserve">Assessment question</t>
  </si>
  <si>
    <t xml:space="preserve">Secondary SDGs</t>
  </si>
  <si>
    <t xml:space="preserve">Primary targets</t>
  </si>
  <si>
    <t xml:space="preserve">Secondary targets</t>
  </si>
  <si>
    <t xml:space="preserve">Alignment rationale</t>
  </si>
  <si>
    <t xml:space="preserve">PP1.1</t>
  </si>
  <si>
    <t xml:space="preserve">Infrastructure Design and Material Innovation</t>
  </si>
  <si>
    <t xml:space="preserve">Design &amp; material innovation</t>
  </si>
  <si>
    <t xml:space="preserve">Integrate prescribed planning frameworks to promote innovation in infrastructure design, and infrastructure material use aligned to national and local development goals.</t>
  </si>
  <si>
    <t xml:space="preserve">Does the project offer clear evidence of compliance to design innovations pertaining to key planning prescripts and construction material use across the 3 spheres of government?</t>
  </si>
  <si>
    <t xml:space="preserve">9.1, 9.4, 9.5</t>
  </si>
  <si>
    <t xml:space="preserve">8.2, 11.3, 12.2</t>
  </si>
  <si>
    <t xml:space="preserve">Innovative, sustainable infrastructure design and material use improve resource efficiency while aligning projects with national and local development plans.</t>
  </si>
  <si>
    <t xml:space="preserve">NT/PFMA; MTEF; NDP; NIP 2050; NSDF; NLTF; WCSDF 2035; MSDF; PLTF; PSP 2025-2030; G4J; WCIF; WCEIIF; CC response strategy; Green BCSA; SABS; BSA; NDC; CCA 2024; JTF; WCCCRS; MTSF; CIDB; CIF; CEF; C-AMP (GIAMA); U-AMP (GIAMA).</t>
  </si>
  <si>
    <t xml:space="preserve">PP1.2</t>
  </si>
  <si>
    <t xml:space="preserve">ICT Innovation</t>
  </si>
  <si>
    <t xml:space="preserve">ICT innovation</t>
  </si>
  <si>
    <t xml:space="preserve">Promote innovation in ICT to enhance ease of doing business and government processes, driving economic and governance efficiencies.</t>
  </si>
  <si>
    <t xml:space="preserve">Does the project offer clear evidence of compliance to ICT innovations and/or efficiencies like ease-of-doing-business and/or ease-of-doing-government?</t>
  </si>
  <si>
    <t xml:space="preserve">9.5, 9.c</t>
  </si>
  <si>
    <t xml:space="preserve">8.2, 16.6, 16.10, 17.8</t>
  </si>
  <si>
    <t xml:space="preserve">Digital infrastructure and ICT innovation improve business processes, public-service delivery, information access and institutional efficiency.</t>
  </si>
  <si>
    <t xml:space="preserve">NDP; SITA; G4J; WCIF; PSP 2025-2030; PLTF; MTSF.</t>
  </si>
  <si>
    <t xml:space="preserve">PP2.1</t>
  </si>
  <si>
    <t xml:space="preserve">Resilient Infrastructure Design and Risk Mitigation</t>
  </si>
  <si>
    <t xml:space="preserve">Resilient design &amp; risk</t>
  </si>
  <si>
    <t xml:space="preserve">Align infrastructure design with resilience principles to address climate change, sustainability, and regenerative practices. It must also address water, energy, and disaster management through proactive risk mitigation strategies and policies.</t>
  </si>
  <si>
    <t xml:space="preserve">Does the project offer clear evidence of innovations that foster resilience and regenerative aspects of the infrastructure value chain; and are there risk mitigation strategies in place?</t>
  </si>
  <si>
    <t xml:space="preserve">9.1, 13.1, 13.2</t>
  </si>
  <si>
    <t xml:space="preserve">6.4, 6.5, 7.2, 7.3, 11.5, 11.b, 12.2</t>
  </si>
  <si>
    <t xml:space="preserve">Directly addresses climate resilience, disaster-risk reduction, water and energy management, sustainability and regenerative design.</t>
  </si>
  <si>
    <t xml:space="preserve">WCIF; PLTF; NDC; CCA 2024; JTF; WCCCRS; WCEIIF; Green BCSA; UIDG; CIDB; CIF; CEF; IGM; C-AMP (GIAMA); U-AMP (GIAMA).</t>
  </si>
  <si>
    <t xml:space="preserve">PP2.2</t>
  </si>
  <si>
    <t xml:space="preserve">Infrastructure Planning for Systemic Alignment</t>
  </si>
  <si>
    <t xml:space="preserve">Systemic planning alignment</t>
  </si>
  <si>
    <t xml:space="preserve">Integrated and collaborative planning ensures alignment across spatial, economic, and environmental systems, serving as the foundation for sustainable infrastructure value chains and ecosystems.</t>
  </si>
  <si>
    <t xml:space="preserve">Does the project offer clear evidence of alignment, integration and collaboration across the WC infrastructure ecosystem?</t>
  </si>
  <si>
    <t xml:space="preserve">11.3, 11.a</t>
  </si>
  <si>
    <t xml:space="preserve">9.1, 13.2, 17.14, 17.16, 17.17</t>
  </si>
  <si>
    <t xml:space="preserve">Integrated spatial, economic and environmental planning creates coherent infrastructure systems and sustainable value chains.</t>
  </si>
  <si>
    <t xml:space="preserve">NT/PFMA; MTEF; NDP; NIP 2050; NSDF; NLTF; WCSDF 2035; MSDF; PLTF; PSP 2025-2030; G4J; WCIF; IUDF; IDWRP; EPWP; GPS (DEA&amp;DP 2024); MFMA; CEF; UIDG; COGTA; CIDB; LTFP; IGM; SDBIP; C-AMP (GIAMA); U-AMP (GIAMA).</t>
  </si>
  <si>
    <t xml:space="preserve">PP2.3</t>
  </si>
  <si>
    <t xml:space="preserve">Localised Resource Utilisation</t>
  </si>
  <si>
    <t xml:space="preserve">Localised resources</t>
  </si>
  <si>
    <t xml:space="preserve">Reduce socio-ecological costs by sourcing inputs locally and minimising resource transportation needs (this includes consideration of Biodiversity Offsets).</t>
  </si>
  <si>
    <t xml:space="preserve">Does the project offer clear evidence of innovations that foster resilience, sustainable and regenerative aspects in the infrastructure and project value chains at a local level?</t>
  </si>
  <si>
    <t xml:space="preserve">12.2, 12.7</t>
  </si>
  <si>
    <t xml:space="preserve">8.3, 9.4, 11.6, 13.2</t>
  </si>
  <si>
    <t xml:space="preserve">Local sourcing and sustainable procurement reduce transport impacts, embodied emissions and resource costs while stimulating local economies.</t>
  </si>
  <si>
    <t xml:space="preserve">NDC; CCA 2024; JTF; Green BCSA; King IV; WCIF; WCCCRS; WCEIIF; CIDB; C-AMP (GIAMA); U-AMP (GIAMA).</t>
  </si>
  <si>
    <t xml:space="preserve">PP3.1</t>
  </si>
  <si>
    <t xml:space="preserve">Geolocation relative to Spatial Zones</t>
  </si>
  <si>
    <t xml:space="preserve">Spatial-zone geolocation</t>
  </si>
  <si>
    <t xml:space="preserve">Align infrastructure development to counter spatial inaccessibility via equitable access, capacity building and knowledge management of spatial justice.</t>
  </si>
  <si>
    <t xml:space="preserve">Does the project offer clear evidence of sustainable stakeholder value fostering trust in context of spatial justice and improved access to infrastructure?</t>
  </si>
  <si>
    <t xml:space="preserve">11.1, 11.2, 11.3, 11.a</t>
  </si>
  <si>
    <t xml:space="preserve">4.4, 9.1, 10.2</t>
  </si>
  <si>
    <t xml:space="preserve">Locating infrastructure strategically can reduce spatial exclusion and improve equitable access to services, opportunities, knowledge and capacity.</t>
  </si>
  <si>
    <t xml:space="preserve">SDGs; NDP; NIP 2050; SPLUMA; NSDF; WCSDF 2030; PSP 2025-2030; MSDF; WCIF; PLTF; GPS; State of Development Planning Report and Spatial Performance Report (DEA&amp;DP 2024); RPG-TWG; DEA&amp;DP (Development Planning Report + Spatial Performance Report 2024); CEF; UIDF; MTSF; COGTA; CIF; SDBIP; U-AMP (GIAMA); C-AMP (GIAMA). All planned interventions (projects &amp; programs) to be geo-located &amp; spatially represented, including their expenditure to be expressed spatially.</t>
  </si>
  <si>
    <t xml:space="preserve">PP3.2</t>
  </si>
  <si>
    <t xml:space="preserve">Public Value and Spatial Justice Innovations</t>
  </si>
  <si>
    <t xml:space="preserve">Public value &amp; spatial justice</t>
  </si>
  <si>
    <t xml:space="preserve">Deliver equitable public value while addressing spatial inequities through innovative projects, fostering inclusive planning &amp; development, with a focus on WYPD.</t>
  </si>
  <si>
    <t xml:space="preserve">Does the project offer clear evidence of innovations to counter spatial inequalities, to promote inclusive planning and development?</t>
  </si>
  <si>
    <t xml:space="preserve">10.2, 11.3</t>
  </si>
  <si>
    <t xml:space="preserve">1.4, 9.1, 16.7</t>
  </si>
  <si>
    <t xml:space="preserve">Promotes equitable public value, inclusive planning and innovative interventions that correct historic and geographic inequalities.</t>
  </si>
  <si>
    <t xml:space="preserve">NSDF; WCSDF 2030; MSDF; WCIF (MOIP); PLTF; GPS; DEA&amp;DP (Development Planning Report + Spatial Performance Report 2024); UIDF; UIDG; CIF; CEF; SDBIP.</t>
  </si>
  <si>
    <t xml:space="preserve">PP3.3</t>
  </si>
  <si>
    <t xml:space="preserve">Partnerships and Localisation Compliance</t>
  </si>
  <si>
    <t xml:space="preserve">Partnerships &amp; localisation</t>
  </si>
  <si>
    <t xml:space="preserve">Effective partnerships that demonstrates  implementation innovation regarding Risk-Reward sharing; And the use of localised value chains to deliver socio-economic benefits, trust, and stakeholder equity.</t>
  </si>
  <si>
    <t xml:space="preserve">Does the project offer clear evidence of desired Partnership models favouring equitable Localised value chain development and risk-sharing?</t>
  </si>
  <si>
    <t xml:space="preserve">17.16, 17.17</t>
  </si>
  <si>
    <t xml:space="preserve">8.3, 8.5, 10.2, 12.7, 16.6, 16.7</t>
  </si>
  <si>
    <t xml:space="preserve">Fair risk-and-reward arrangements, stakeholder trust and local value chains support equitable partnerships and locally retained socio-economic benefits.</t>
  </si>
  <si>
    <t xml:space="preserve">NT/PFMA; MTEF; NDP; NIP 2050; NLTF; PLTF; NSDF; PSDF; MSDF; PSP 2025-2030; G4J; WCIF; BSA; SABS; UIDF; MTSF; COGTA; CIDB; MSDG; IGM.</t>
  </si>
  <si>
    <t xml:space="preserve">PP4.1</t>
  </si>
  <si>
    <t xml:space="preserve">Funding, Financing and Budget Governance and Compliance</t>
  </si>
  <si>
    <t xml:space="preserve">Funding &amp; budget compliance</t>
  </si>
  <si>
    <t xml:space="preserve">Compliance with provincial, national and international financial and budgetary frameworks to ensure funding sustainability and fiscal discipline.</t>
  </si>
  <si>
    <t xml:space="preserve">Does the project offer funding and financing governance frameworks (financial model, etc.) and  PFMA and MFMA budgetary compliances; and taking into consideration the IFRS when necessary?</t>
  </si>
  <si>
    <t xml:space="preserve">16.6</t>
  </si>
  <si>
    <t xml:space="preserve">17.1, 17.3, 17.4, 17.14</t>
  </si>
  <si>
    <t xml:space="preserve">Compliance with financial and budget frameworks strengthens fiscal discipline, accountability, institutional effectiveness and sustainable infrastructure funding.</t>
  </si>
  <si>
    <t xml:space="preserve">NT/PFMA; MTEF; NDP; NIP 2050; PT; G4J; WCIF; MFMA; MTSF; CEF; UIDG; COGTA; LTFP; CIP; IGM; SDIP; C-AMP (GIAMA); U-AMP (GIAMA).</t>
  </si>
  <si>
    <t xml:space="preserve">PP4.2</t>
  </si>
  <si>
    <t xml:space="preserve">Socio-economic Compliance</t>
  </si>
  <si>
    <t xml:space="preserve">Socio-economic compliance</t>
  </si>
  <si>
    <t xml:space="preserve">Adherence to socio-economic planning frameworks and policies, aligning infrastructure projects with growth development priorities and policy objectives as part of effective governance and transversal planning (also take into consideration decommissioning and repurposing).</t>
  </si>
  <si>
    <t xml:space="preserve">Does the project offer clear evidence of alignment of socio-economic growth and development priorities required by transversal planning prescripts?</t>
  </si>
  <si>
    <t xml:space="preserve">16.6, 16.7</t>
  </si>
  <si>
    <t xml:space="preserve">8.3, 10.2, 11.a, 17.14</t>
  </si>
  <si>
    <t xml:space="preserve">Alignment with socio-economic policies and development priorities enables accountable governance, coordinated planning and inclusive growth.</t>
  </si>
  <si>
    <t xml:space="preserve">NSDF; WCSDF 2030; MSDF; WCIF; PLTF; MOIP; G4J; UID; MTSF; COGTA; CIDB; LTFP; CIF; CEF; SDBIP.</t>
  </si>
  <si>
    <t xml:space="preserve">Link ID</t>
  </si>
  <si>
    <t xml:space="preserve">SDG</t>
  </si>
  <si>
    <t xml:space="preserve">SDG name</t>
  </si>
  <si>
    <t xml:space="preserve">Target</t>
  </si>
  <si>
    <t xml:space="preserve">Target short name</t>
  </si>
  <si>
    <t xml:space="preserve">Target text (UNSD)</t>
  </si>
  <si>
    <t xml:space="preserve">Alignment</t>
  </si>
  <si>
    <t xml:space="preserve">Department label</t>
  </si>
  <si>
    <t xml:space="preserve">Indicators</t>
  </si>
  <si>
    <t xml:space="preserve">PP1.1|9.1</t>
  </si>
  <si>
    <t xml:space="preserve">Industry, Innovation and Infrastructure</t>
  </si>
  <si>
    <t xml:space="preserve">9.1</t>
  </si>
  <si>
    <t xml:space="preserve">Quality, resilient infrastructure</t>
  </si>
  <si>
    <t xml:space="preserve">Develop quality, reliable, sustainable and resilient infrastructure, including regional and transborder infrastructure, to support economic development and human well-being, with a focus on affordable and equitable access for all</t>
  </si>
  <si>
    <t xml:space="preserve">Primary</t>
  </si>
  <si>
    <t xml:space="preserve">PP1.1|9.4</t>
  </si>
  <si>
    <t xml:space="preserve">9.4</t>
  </si>
  <si>
    <t xml:space="preserve">Sustainable, retrofitted infrastructure</t>
  </si>
  <si>
    <t xml:space="preserve">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</si>
  <si>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 xml:space="preserve">PP1.1|9.5</t>
  </si>
  <si>
    <t xml:space="preserve">9.5</t>
  </si>
  <si>
    <t xml:space="preserve">Research and technological capability</t>
  </si>
  <si>
    <t xml:space="preserve">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</si>
  <si>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 xml:space="preserve">PP1.1|8.2</t>
  </si>
  <si>
    <t xml:space="preserve">Decent Work and Economic Growth</t>
  </si>
  <si>
    <t xml:space="preserve">8.2</t>
  </si>
  <si>
    <t xml:space="preserve">Productivity through innovation</t>
  </si>
  <si>
    <t xml:space="preserve">Achieve higher levels of economic productivity through diversification, technological upgrading and innovation, including through a focus on high-value added and labour-intensive sectors</t>
  </si>
  <si>
    <t xml:space="preserve">Secondary</t>
  </si>
  <si>
    <t xml:space="preserve">innovation-led productivity</t>
  </si>
  <si>
    <t xml:space="preserve">PP1.1|11.3</t>
  </si>
  <si>
    <t xml:space="preserve">Sustainable Cities and Communities</t>
  </si>
  <si>
    <t xml:space="preserve">11.3</t>
  </si>
  <si>
    <t xml:space="preserve">Inclusive, integrated urban planning</t>
  </si>
  <si>
    <t xml:space="preserve">By 2030, enhance inclusive and sustainable urbanization and capacity for participatory, integrated and sustainable human settlement planning and management in all countries</t>
  </si>
  <si>
    <t xml:space="preserve">integrated urban planning</t>
  </si>
  <si>
    <t xml:space="preserve">PP1.1|12.2</t>
  </si>
  <si>
    <t xml:space="preserve">Responsible Consumption and Production</t>
  </si>
  <si>
    <t xml:space="preserve">12.2</t>
  </si>
  <si>
    <t xml:space="preserve">Sustainable use of natural resources</t>
  </si>
  <si>
    <t xml:space="preserve">By 2030, achieve the sustainable management and efficient use of natural resources</t>
  </si>
  <si>
    <t xml:space="preserve">efficient use of natural resources</t>
  </si>
  <si>
    <t xml:space="preserve">PP1.2|9.5</t>
  </si>
  <si>
    <t xml:space="preserve">PP1.2|9.c</t>
  </si>
  <si>
    <t xml:space="preserve">9.c</t>
  </si>
  <si>
    <t xml:space="preserve">Access to ICT and the internet</t>
  </si>
  <si>
    <t xml:space="preserve">Significantly increase access to information and communications technology and strive to provide universal and affordable access to the Internet in least developed countries by 2020</t>
  </si>
  <si>
    <t xml:space="preserve">PP1.2|8.2</t>
  </si>
  <si>
    <t xml:space="preserve">technological upgrading</t>
  </si>
  <si>
    <t xml:space="preserve">PP1.2|16.6</t>
  </si>
  <si>
    <t xml:space="preserve">Peace, Justice and Strong Institutions</t>
  </si>
  <si>
    <t xml:space="preserve">Effective, accountable institutions</t>
  </si>
  <si>
    <t xml:space="preserve">Develop effective, accountable and transparent institutions at all levels</t>
  </si>
  <si>
    <t xml:space="preserve">effective institutions</t>
  </si>
  <si>
    <t xml:space="preserve">PP1.2|16.10</t>
  </si>
  <si>
    <t xml:space="preserve">16.10</t>
  </si>
  <si>
    <t xml:space="preserve">Public access to information</t>
  </si>
  <si>
    <t xml:space="preserve">Ensure public access to information and protect fundamental freedoms, in accordance with national legislation and international agreements</t>
  </si>
  <si>
    <t xml:space="preserve">access to information</t>
  </si>
  <si>
    <t xml:space="preserve">PP1.2|17.8</t>
  </si>
  <si>
    <t xml:space="preserve">Partnerships for the Goals</t>
  </si>
  <si>
    <t xml:space="preserve">17.8</t>
  </si>
  <si>
    <t xml:space="preserve">Enabling technology and ICT</t>
  </si>
  <si>
    <t xml:space="preserve">Fully operationalize the technology bank and science, technology and innovation capacity-building mechanism for least developed countries by 2017 and enhance the use of enabling technology, in particular information and communications technology</t>
  </si>
  <si>
    <t xml:space="preserve">enabling technology</t>
  </si>
  <si>
    <t xml:space="preserve">PP2.1|9.1</t>
  </si>
  <si>
    <t xml:space="preserve">PP2.1|13.1</t>
  </si>
  <si>
    <t xml:space="preserve">Climate Action</t>
  </si>
  <si>
    <t xml:space="preserve">13.1</t>
  </si>
  <si>
    <t xml:space="preserve">Climate resilience and adaptive capacity</t>
  </si>
  <si>
    <t xml:space="preserve">Strengthen resilience and adaptive capacity to climate-related hazards and natural disasters in all countries</t>
  </si>
  <si>
    <t xml:space="preserve">PP2.1|13.2</t>
  </si>
  <si>
    <t xml:space="preserve">13.2</t>
  </si>
  <si>
    <t xml:space="preserve">Climate measures in plans and policies</t>
  </si>
  <si>
    <t xml:space="preserve">Integrate climate change measures into national policies, strategies and planning</t>
  </si>
  <si>
    <t xml:space="preserve">PP2.1|6.4</t>
  </si>
  <si>
    <t xml:space="preserve">Clean Water and Sanitation</t>
  </si>
  <si>
    <t xml:space="preserve">6.4</t>
  </si>
  <si>
    <t xml:space="preserve">Water-use efficiency</t>
  </si>
  <si>
    <t xml:space="preserve">By 2030, substantially increase water-use efficiency across all sectors and ensure sustainable withdrawals and supply of freshwater to address water scarcity and substantially reduce the number of people suffering from water scarcity</t>
  </si>
  <si>
    <t xml:space="preserve">water efficiency and integrated management</t>
  </si>
  <si>
    <t xml:space="preserve">PP2.1|6.5</t>
  </si>
  <si>
    <t xml:space="preserve">6.5</t>
  </si>
  <si>
    <t xml:space="preserve">Integrated water resources management</t>
  </si>
  <si>
    <t xml:space="preserve">By 2030, implement integrated water resources management at all levels, including through transboundary cooperation as appropriate</t>
  </si>
  <si>
    <t xml:space="preserve">PP2.1|7.2</t>
  </si>
  <si>
    <t xml:space="preserve">Affordable and Clean Energy</t>
  </si>
  <si>
    <t xml:space="preserve">7.2</t>
  </si>
  <si>
    <t xml:space="preserve">Renewable energy share</t>
  </si>
  <si>
    <t xml:space="preserve">By 2030, increase substantially the share of renewable energy in the global energy mix</t>
  </si>
  <si>
    <t xml:space="preserve">renewable energy and energy efficiency</t>
  </si>
  <si>
    <t xml:space="preserve">PP2.1|7.3</t>
  </si>
  <si>
    <t xml:space="preserve">7.3</t>
  </si>
  <si>
    <t xml:space="preserve">Energy efficiency</t>
  </si>
  <si>
    <t xml:space="preserve">By 2030, double the global rate of improvement in energy efficiency</t>
  </si>
  <si>
    <t xml:space="preserve">PP2.1|11.5</t>
  </si>
  <si>
    <t xml:space="preserve">11.5</t>
  </si>
  <si>
    <t xml:space="preserve">Reduced disaster losses</t>
  </si>
  <si>
    <t xml:space="preserve">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</si>
  <si>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 xml:space="preserve">disaster resilience</t>
  </si>
  <si>
    <t xml:space="preserve">PP2.1|11.b</t>
  </si>
  <si>
    <t xml:space="preserve">11.b</t>
  </si>
  <si>
    <t xml:space="preserve">Integrated climate and disaster-risk policies</t>
  </si>
  <si>
    <t xml:space="preserve">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</si>
  <si>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 xml:space="preserve">PP2.1|12.2</t>
  </si>
  <si>
    <t xml:space="preserve">sustainable resource use</t>
  </si>
  <si>
    <t xml:space="preserve">PP2.2|11.3</t>
  </si>
  <si>
    <t xml:space="preserve">PP2.2|11.a</t>
  </si>
  <si>
    <t xml:space="preserve">11.a</t>
  </si>
  <si>
    <t xml:space="preserve">Urban–rural planning links</t>
  </si>
  <si>
    <t xml:space="preserve">Support positive economic, social and environmental links between urban, peri-urban and rural areas by strengthening national and regional development planning</t>
  </si>
  <si>
    <t xml:space="preserve">PP2.2|9.1</t>
  </si>
  <si>
    <t xml:space="preserve">sustainable infrastructure</t>
  </si>
  <si>
    <t xml:space="preserve">PP2.2|13.2</t>
  </si>
  <si>
    <t xml:space="preserve">climate integration</t>
  </si>
  <si>
    <t xml:space="preserve">PP2.2|17.14</t>
  </si>
  <si>
    <t xml:space="preserve">17.14</t>
  </si>
  <si>
    <t xml:space="preserve">Policy coherence</t>
  </si>
  <si>
    <t xml:space="preserve">Enhance policy coherence for sustainable development</t>
  </si>
  <si>
    <t xml:space="preserve">policy coherence</t>
  </si>
  <si>
    <t xml:space="preserve">PP2.2|17.16</t>
  </si>
  <si>
    <t xml:space="preserve">17.16</t>
  </si>
  <si>
    <t xml:space="preserve">Multi-stakeholder partnerships</t>
  </si>
  <si>
    <t xml:space="preserve">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</si>
  <si>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 xml:space="preserve">partnerships</t>
  </si>
  <si>
    <t xml:space="preserve">PP2.2|17.17</t>
  </si>
  <si>
    <t xml:space="preserve">17.17</t>
  </si>
  <si>
    <t xml:space="preserve">Public, public-private and civil society partnerships</t>
  </si>
  <si>
    <t xml:space="preserve">Encourage and promote effective public, public-private and civil society partnerships, building on the experience and resourcing strategies of partnerships</t>
  </si>
  <si>
    <t xml:space="preserve">PP2.3|12.2</t>
  </si>
  <si>
    <t xml:space="preserve">PP2.3|12.7</t>
  </si>
  <si>
    <t xml:space="preserve">12.7</t>
  </si>
  <si>
    <t xml:space="preserve">Sustainable public procurement</t>
  </si>
  <si>
    <t xml:space="preserve">Promote public procurement practices that are sustainable, in accordance with national policies and priorities</t>
  </si>
  <si>
    <t xml:space="preserve">PP2.3|8.3</t>
  </si>
  <si>
    <t xml:space="preserve">8.3</t>
  </si>
  <si>
    <t xml:space="preserve">Enterprise and small-business growth</t>
  </si>
  <si>
    <t xml:space="preserve">Promote development-oriented policies that support productive activities, decent job creation, entrepreneurship, creativity and innovation, and encourage the formalization and growth of micro-, small- and medium-sized enterprises, including through access to financial services</t>
  </si>
  <si>
    <t xml:space="preserve">local enterprise development</t>
  </si>
  <si>
    <t xml:space="preserve">PP2.3|9.4</t>
  </si>
  <si>
    <t xml:space="preserve">resource-efficient industry</t>
  </si>
  <si>
    <t xml:space="preserve">PP2.3|11.6</t>
  </si>
  <si>
    <t xml:space="preserve">11.6</t>
  </si>
  <si>
    <t xml:space="preserve">Lower urban environmental impact</t>
  </si>
  <si>
    <t xml:space="preserve">By 2030, reduce the adverse per capita environmental impact of cities, including by paying special attention to air quality and municipal and other waste management</t>
  </si>
  <si>
    <t xml:space="preserve">lower urban environmental impact</t>
  </si>
  <si>
    <t xml:space="preserve">PP2.3|13.2</t>
  </si>
  <si>
    <t xml:space="preserve">climate considerations</t>
  </si>
  <si>
    <t xml:space="preserve">PP3.1|11.1</t>
  </si>
  <si>
    <t xml:space="preserve">11.1</t>
  </si>
  <si>
    <t xml:space="preserve">Adequate housing and basic services</t>
  </si>
  <si>
    <t xml:space="preserve">By 2030, ensure access for all to adequate, safe and affordable housing and basic services and upgrade slums</t>
  </si>
  <si>
    <t xml:space="preserve">PP3.1|11.2</t>
  </si>
  <si>
    <t xml:space="preserve">11.2</t>
  </si>
  <si>
    <t xml:space="preserve">Sustainable transport systems</t>
  </si>
  <si>
    <t xml:space="preserve">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</si>
  <si>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 xml:space="preserve">PP3.1|11.3</t>
  </si>
  <si>
    <t xml:space="preserve">PP3.1|11.a</t>
  </si>
  <si>
    <t xml:space="preserve">PP3.1|4.4</t>
  </si>
  <si>
    <t xml:space="preserve">Quality Education</t>
  </si>
  <si>
    <t xml:space="preserve">4.4</t>
  </si>
  <si>
    <t xml:space="preserve">Relevant skills for work</t>
  </si>
  <si>
    <t xml:space="preserve">By 2030, substantially increase the number of youth and adults who have relevant skills, including technical and vocational skills, for employment, decent jobs and entrepreneurship</t>
  </si>
  <si>
    <t xml:space="preserve">skills and capacity development</t>
  </si>
  <si>
    <t xml:space="preserve">PP3.1|9.1</t>
  </si>
  <si>
    <t xml:space="preserve">equitable access to infrastructure</t>
  </si>
  <si>
    <t xml:space="preserve">PP3.1|10.2</t>
  </si>
  <si>
    <t xml:space="preserve">Reduced Inequalities</t>
  </si>
  <si>
    <t xml:space="preserve">10.2</t>
  </si>
  <si>
    <t xml:space="preserve">Social, economic and political inclusion</t>
  </si>
  <si>
    <t xml:space="preserve">By 2030, empower and promote the social, economic and political inclusion of all, irrespective of age, sex, disability, race, ethnicity, origin, religion or economic or other status</t>
  </si>
  <si>
    <t xml:space="preserve">social and economic inclusion</t>
  </si>
  <si>
    <t xml:space="preserve">PP3.2|10.2</t>
  </si>
  <si>
    <t xml:space="preserve">PP3.2|11.3</t>
  </si>
  <si>
    <t xml:space="preserve">PP3.2|1.4</t>
  </si>
  <si>
    <t xml:space="preserve">No Poverty</t>
  </si>
  <si>
    <t xml:space="preserve">1.4</t>
  </si>
  <si>
    <t xml:space="preserve">Equal access to basic services and resources</t>
  </si>
  <si>
    <t xml:space="preserve">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</si>
  <si>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 xml:space="preserve">access to basic services and economic resources</t>
  </si>
  <si>
    <t xml:space="preserve">PP3.2|9.1</t>
  </si>
  <si>
    <t xml:space="preserve">affordable and equitable access</t>
  </si>
  <si>
    <t xml:space="preserve">PP3.2|16.7</t>
  </si>
  <si>
    <t xml:space="preserve">16.7</t>
  </si>
  <si>
    <t xml:space="preserve">Inclusive, participatory decision-making</t>
  </si>
  <si>
    <t xml:space="preserve">Ensure responsive, inclusive, participatory and representative decision-making at all levels</t>
  </si>
  <si>
    <t xml:space="preserve">inclusive decision-making</t>
  </si>
  <si>
    <t xml:space="preserve">PP3.3|17.16</t>
  </si>
  <si>
    <t xml:space="preserve">PP3.3|17.17</t>
  </si>
  <si>
    <t xml:space="preserve">PP3.3|8.3</t>
  </si>
  <si>
    <t xml:space="preserve">enterprise and decent work</t>
  </si>
  <si>
    <t xml:space="preserve">PP3.3|8.5</t>
  </si>
  <si>
    <t xml:space="preserve">8.5</t>
  </si>
  <si>
    <t xml:space="preserve">Full employment and decent work</t>
  </si>
  <si>
    <t xml:space="preserve">By 2030, achieve full and productive employment and decent work for all women and men, including for young people and persons with disabilities, and equal pay for work of equal value</t>
  </si>
  <si>
    <t xml:space="preserve">PP3.3|10.2</t>
  </si>
  <si>
    <t xml:space="preserve">inclusion</t>
  </si>
  <si>
    <t xml:space="preserve">PP3.3|12.7</t>
  </si>
  <si>
    <t xml:space="preserve">sustainable procurement</t>
  </si>
  <si>
    <t xml:space="preserve">PP3.3|16.6</t>
  </si>
  <si>
    <t xml:space="preserve">accountability and participation</t>
  </si>
  <si>
    <t xml:space="preserve">PP3.3|16.7</t>
  </si>
  <si>
    <t xml:space="preserve">PP4.1|16.6</t>
  </si>
  <si>
    <t xml:space="preserve">PP4.1|17.1</t>
  </si>
  <si>
    <t xml:space="preserve">17.1</t>
  </si>
  <si>
    <t xml:space="preserve">Domestic resource mobilisation</t>
  </si>
  <si>
    <t xml:space="preserve">Strengthen domestic resource mobilization, including through international support to developing countries, to improve domestic capacity for tax and other revenue collection</t>
  </si>
  <si>
    <t xml:space="preserve">domestic resource mobilisation</t>
  </si>
  <si>
    <t xml:space="preserve">PP4.1|17.3</t>
  </si>
  <si>
    <t xml:space="preserve">17.3</t>
  </si>
  <si>
    <t xml:space="preserve">Additional financial resources</t>
  </si>
  <si>
    <t xml:space="preserve">Mobilize additional financial resources for developing countries from multiple sources</t>
  </si>
  <si>
    <t xml:space="preserve">additional financial resources</t>
  </si>
  <si>
    <t xml:space="preserve">PP4.1|17.4</t>
  </si>
  <si>
    <t xml:space="preserve">17.4</t>
  </si>
  <si>
    <t xml:space="preserve">Debt sustainability</t>
  </si>
  <si>
    <t xml:space="preserve">Assist developing countries in attaining long-term debt sustainability through coordinated policies aimed at fostering debt financing, debt relief and debt restructuring, as appropriate, and address the external debt of highly indebted poor countries to reduce debt distress</t>
  </si>
  <si>
    <t xml:space="preserve">long-term financial sustainability</t>
  </si>
  <si>
    <t xml:space="preserve">PP4.1|17.14</t>
  </si>
  <si>
    <t xml:space="preserve">PP4.2|16.6</t>
  </si>
  <si>
    <t xml:space="preserve">PP4.2|16.7</t>
  </si>
  <si>
    <t xml:space="preserve">PP4.2|8.3</t>
  </si>
  <si>
    <t xml:space="preserve">development-oriented policies</t>
  </si>
  <si>
    <t xml:space="preserve">PP4.2|10.2</t>
  </si>
  <si>
    <t xml:space="preserve">PP4.2|11.a</t>
  </si>
  <si>
    <t xml:space="preserve">alignment of spatial and development planning</t>
  </si>
  <si>
    <t xml:space="preserve">PP4.2|17.14</t>
  </si>
  <si>
    <t xml:space="preserve">Indicator</t>
  </si>
  <si>
    <t xml:space="preserve">Indicator text (UNSD)</t>
  </si>
  <si>
    <t xml:space="preserve">Also listed under</t>
  </si>
  <si>
    <t xml:space="preserve">9.1.1</t>
  </si>
  <si>
    <t xml:space="preserve">Proportion of the rural population who live within 2 km of an all-season road</t>
  </si>
  <si>
    <t xml:space="preserve">9.1.2</t>
  </si>
  <si>
    <t xml:space="preserve">Passenger and freight volumes, by mode of transport</t>
  </si>
  <si>
    <t xml:space="preserve">9.4.1</t>
  </si>
  <si>
    <t xml:space="preserve">CO2 emission per unit of value added</t>
  </si>
  <si>
    <t xml:space="preserve">9.5.1</t>
  </si>
  <si>
    <t xml:space="preserve">Research and development expenditure as a proportion of GDP</t>
  </si>
  <si>
    <t xml:space="preserve">9.5.2</t>
  </si>
  <si>
    <t xml:space="preserve">Researchers (in full-time equivalent) per million inhabitants</t>
  </si>
  <si>
    <t xml:space="preserve">8.2.1</t>
  </si>
  <si>
    <t xml:space="preserve">Annual growth rate of real GDP per employed person</t>
  </si>
  <si>
    <t xml:space="preserve">11.3.1</t>
  </si>
  <si>
    <t xml:space="preserve">Ratio of land consumption rate to population growth rate</t>
  </si>
  <si>
    <t xml:space="preserve">11.3.2</t>
  </si>
  <si>
    <t xml:space="preserve">Proportion of cities with a direct participation structure of civil society in urban planning and management that operate regularly and democratically</t>
  </si>
  <si>
    <t xml:space="preserve">12.2.1</t>
  </si>
  <si>
    <t xml:space="preserve">Material footprint, material footprint per capita, and material footprint per GDP</t>
  </si>
  <si>
    <t xml:space="preserve">8.4.1</t>
  </si>
  <si>
    <t xml:space="preserve">12.2.2</t>
  </si>
  <si>
    <t xml:space="preserve">Domestic material consumption, domestic material consumption per capita, and domestic material consumption per GDP</t>
  </si>
  <si>
    <t xml:space="preserve">8.4.2</t>
  </si>
  <si>
    <t xml:space="preserve">9.c.1</t>
  </si>
  <si>
    <t xml:space="preserve">Proportion of population covered by a mobile network, by technology</t>
  </si>
  <si>
    <t xml:space="preserve">16.6.1</t>
  </si>
  <si>
    <t xml:space="preserve">Primary government expenditures as a proportion of original approved budget, by sector (or by budget codes or similar)</t>
  </si>
  <si>
    <t xml:space="preserve">16.6.2</t>
  </si>
  <si>
    <t xml:space="preserve">Proportion of population satisfied with their last experience of public services</t>
  </si>
  <si>
    <t xml:space="preserve">16.10.1</t>
  </si>
  <si>
    <t xml:space="preserve">Number of verified cases of killing, kidnapping, enforced disappearance, arbitrary detention and torture of journalists, associated media personnel, trade unionists and human rights advocates in the previous 12 months</t>
  </si>
  <si>
    <t xml:space="preserve">16.10.2</t>
  </si>
  <si>
    <t xml:space="preserve">Number of countries that adopt and implement constitutional, statutory and/or policy guarantees for public access to information</t>
  </si>
  <si>
    <t xml:space="preserve">17.8.1</t>
  </si>
  <si>
    <t xml:space="preserve">Proportion of individuals using the Internet</t>
  </si>
  <si>
    <t xml:space="preserve">13.1.1</t>
  </si>
  <si>
    <t xml:space="preserve">Number of deaths, missing persons and directly affected persons attributed to disasters per 100,000 population</t>
  </si>
  <si>
    <t xml:space="preserve">1.5.1, 11.5.1</t>
  </si>
  <si>
    <t xml:space="preserve">13.1.2</t>
  </si>
  <si>
    <t xml:space="preserve">Number of countries that adopt and implement national disaster risk reduction strategies in line with the Sendai Framework for Disaster Risk Reduction 2015–2030</t>
  </si>
  <si>
    <t xml:space="preserve">1.5.3, 11.b.1</t>
  </si>
  <si>
    <t xml:space="preserve">13.1.3</t>
  </si>
  <si>
    <t xml:space="preserve">Proportion of local governments that adopt and implement local disaster risk reduction strategies in line with national disaster risk reduction strategies</t>
  </si>
  <si>
    <t xml:space="preserve">1.5.4, 11.b.2</t>
  </si>
  <si>
    <t xml:space="preserve">13.2.1</t>
  </si>
  <si>
    <t xml:space="preserve">Number of countries with reports under the Paris Agreement, as submitted to the secretariat of the United Nations Framework Convention on Climate Change</t>
  </si>
  <si>
    <t xml:space="preserve">13.2.2</t>
  </si>
  <si>
    <t xml:space="preserve">Total greenhouse gas emissions per year</t>
  </si>
  <si>
    <t xml:space="preserve">6.4.1</t>
  </si>
  <si>
    <t xml:space="preserve">Change in water-use efficiency over time</t>
  </si>
  <si>
    <t xml:space="preserve">6.4.2</t>
  </si>
  <si>
    <t xml:space="preserve">Level of water stress: freshwater withdrawal as a proportion of available freshwater resources</t>
  </si>
  <si>
    <t xml:space="preserve">6.5.1</t>
  </si>
  <si>
    <t xml:space="preserve">Degree of integrated water resources management</t>
  </si>
  <si>
    <t xml:space="preserve">6.5.2</t>
  </si>
  <si>
    <t xml:space="preserve">Proportion of transboundary basin area with an operational arrangement for water cooperation</t>
  </si>
  <si>
    <t xml:space="preserve">7.2.1</t>
  </si>
  <si>
    <t xml:space="preserve">Renewable energy share in the total final energy consumption</t>
  </si>
  <si>
    <t xml:space="preserve">7.3.1</t>
  </si>
  <si>
    <t xml:space="preserve">Energy intensity measured in terms of primary energy and GDP</t>
  </si>
  <si>
    <t xml:space="preserve">11.5.1</t>
  </si>
  <si>
    <t xml:space="preserve">1.5.1, 13.1.1</t>
  </si>
  <si>
    <t xml:space="preserve">11.5.2</t>
  </si>
  <si>
    <t xml:space="preserve">Direct economic loss attributed to disasters in relation to global gross domestic product (GDP)</t>
  </si>
  <si>
    <t xml:space="preserve">1.5.2</t>
  </si>
  <si>
    <t xml:space="preserve">11.5.3</t>
  </si>
  <si>
    <t xml:space="preserve">(a) Damage to critical infrastructure and (b) number of disruptions to basic services, attributed to disasters</t>
  </si>
  <si>
    <t xml:space="preserve">11.b.1</t>
  </si>
  <si>
    <t xml:space="preserve">1.5.3, 13.1.2</t>
  </si>
  <si>
    <t xml:space="preserve">11.b.2</t>
  </si>
  <si>
    <t xml:space="preserve">1.5.4, 13.1.3</t>
  </si>
  <si>
    <t xml:space="preserve">11.a.1</t>
  </si>
  <si>
    <t xml:space="preserve">Number of countries that have national urban policies or regional development plans that (a) respond to population dynamics; (b) ensure balanced territorial development; and (c) increase local fiscal space</t>
  </si>
  <si>
    <t xml:space="preserve">17.14.1</t>
  </si>
  <si>
    <t xml:space="preserve">Number of countries with mechanisms in place to enhance policy coherence of sustainable development</t>
  </si>
  <si>
    <t xml:space="preserve">17.16.1</t>
  </si>
  <si>
    <t xml:space="preserve">Number of countries reporting progress in multi-stakeholder development effectiveness monitoring frameworks that support the achievement of the Sustainable Development Goals</t>
  </si>
  <si>
    <t xml:space="preserve">17.17.1</t>
  </si>
  <si>
    <t xml:space="preserve">Amount in United States dollars committed to public-private partnerships for infrastructure</t>
  </si>
  <si>
    <t xml:space="preserve">12.7.1</t>
  </si>
  <si>
    <t xml:space="preserve">Number of countries implementing sustainable public procurement policies and action plans</t>
  </si>
  <si>
    <t xml:space="preserve">8.3.1</t>
  </si>
  <si>
    <t xml:space="preserve">Proportion of informal employment in total employment, by sector and sex</t>
  </si>
  <si>
    <t xml:space="preserve">11.6.1</t>
  </si>
  <si>
    <t xml:space="preserve">Proportion of municipal solid waste collected and managed in controlled facilities out of total municipal waste generated, by cities</t>
  </si>
  <si>
    <t xml:space="preserve">11.6.2</t>
  </si>
  <si>
    <t xml:space="preserve">Annual mean levels of fine particulate matter (e.g. PM2.5 and PM10) in cities (population weighted)</t>
  </si>
  <si>
    <t xml:space="preserve">11.1.1</t>
  </si>
  <si>
    <t xml:space="preserve">Proportion of urban population living in slums, informal settlements or inadequate housing</t>
  </si>
  <si>
    <t xml:space="preserve">11.2.1</t>
  </si>
  <si>
    <t xml:space="preserve">Proportion of population that has convenient access to public transport, by sex, age and persons with disabilities</t>
  </si>
  <si>
    <t xml:space="preserve">4.4.1</t>
  </si>
  <si>
    <t xml:space="preserve">Proportion of youth and adults with information and communications technology (ICT) skills, by type of skill</t>
  </si>
  <si>
    <t xml:space="preserve">10.2.1</t>
  </si>
  <si>
    <t xml:space="preserve">Proportion of people living below 50 per cent of median income, by sex, age and persons with disabilities</t>
  </si>
  <si>
    <t xml:space="preserve">1.4.1</t>
  </si>
  <si>
    <t xml:space="preserve">Proportion of population living in households with access to basic services</t>
  </si>
  <si>
    <t xml:space="preserve">1.4.2</t>
  </si>
  <si>
    <t xml:space="preserve">Proportion of total adult population with secure tenure rights to land, (a) with legally recognized documentation, and (b) who perceive their rights to land as secure, by sex and type of tenure</t>
  </si>
  <si>
    <t xml:space="preserve">16.7.1</t>
  </si>
  <si>
    <t xml:space="preserve">Proportions of positions in national and local institutions, including (a) the legislatures; (b) the public service; and (c) the judiciary, compared to national distributions, by sex, age, persons with disabilities and population groups</t>
  </si>
  <si>
    <t xml:space="preserve">16.7.2</t>
  </si>
  <si>
    <t xml:space="preserve">Proportion of population who believe decision-making is inclusive and responsive, by sex, age, disability and population group</t>
  </si>
  <si>
    <t xml:space="preserve">8.5.1</t>
  </si>
  <si>
    <t xml:space="preserve">Average hourly earnings of employees, by sex, age, occupation and persons with disabilities</t>
  </si>
  <si>
    <t xml:space="preserve">8.5.2</t>
  </si>
  <si>
    <t xml:space="preserve">Unemployment rate, by sex, age and persons with disabilities</t>
  </si>
  <si>
    <t xml:space="preserve">17.1.1</t>
  </si>
  <si>
    <t xml:space="preserve">Total government revenue as a proportion of GDP, by source</t>
  </si>
  <si>
    <t xml:space="preserve">17.1.2</t>
  </si>
  <si>
    <t xml:space="preserve">Proportion of domestic budget funded by domestic taxes</t>
  </si>
  <si>
    <t xml:space="preserve">17.3.1</t>
  </si>
  <si>
    <t xml:space="preserve">Additional financial resources mobilized for developing countries from multiple sources</t>
  </si>
  <si>
    <t xml:space="preserve">17.3.2</t>
  </si>
  <si>
    <t xml:space="preserve">Volume of remittances (in United States dollars) as a proportion of total GDP</t>
  </si>
  <si>
    <t xml:space="preserve">17.4.1</t>
  </si>
  <si>
    <t xml:space="preserve">Debt service as a proportion of exports of goods, services and primary income</t>
  </si>
  <si>
    <t xml:space="preserve">Project ID</t>
  </si>
  <si>
    <t xml:space="preserve">Project name</t>
  </si>
  <si>
    <t xml:space="preserve">Department</t>
  </si>
  <si>
    <t xml:space="preserve">Location</t>
  </si>
  <si>
    <t xml:space="preserve">Sector</t>
  </si>
  <si>
    <t xml:space="preserve">Stage gate</t>
  </si>
  <si>
    <t xml:space="preserve">Project lead</t>
  </si>
  <si>
    <t xml:space="preserve">Assessment date</t>
  </si>
  <si>
    <t xml:space="preserve">Evaluators</t>
  </si>
  <si>
    <t xml:space="preserve">Score</t>
  </si>
  <si>
    <t xml:space="preserve">Outcome</t>
  </si>
  <si>
    <t xml:space="preserve">P001</t>
  </si>
  <si>
    <t xml:space="preserve">Elsies River CHC and BFI Sub</t>
  </si>
  <si>
    <t xml:space="preserve">Department of Health</t>
  </si>
  <si>
    <t xml:space="preserve">Groote Schuur Hospital</t>
  </si>
  <si>
    <t xml:space="preserve">Social</t>
  </si>
  <si>
    <t xml:space="preserve">Stage 3 – Design Development</t>
  </si>
  <si>
    <t xml:space="preserve">Milne van Leeuwen</t>
  </si>
  <si>
    <t xml:space="preserve">Evaluator</t>
  </si>
  <si>
    <t xml:space="preserve">Score (1–5)</t>
  </si>
  <si>
    <t xml:space="preserve">Comment</t>
  </si>
  <si>
    <t xml:space="preserve">Weighted points</t>
  </si>
  <si>
    <t xml:space="preserve">Chris Maud</t>
  </si>
  <si>
    <t xml:space="preserve">Highly specified work. Skills for Installations and infrastructure is local</t>
  </si>
  <si>
    <t xml:space="preserve">Limiting of systems which then allows ease of operations; Can be operated remotely</t>
  </si>
  <si>
    <t xml:space="preserve">Regenerating sustainability; Risk mitigation</t>
  </si>
  <si>
    <t xml:space="preserve">Collaborative planning approach; supports ecosystem viability</t>
  </si>
  <si>
    <t xml:space="preserve">Supervisory system which makes it easier to run the hospital (makes maintenance easier); Various ways you can monitor power flow through the network</t>
  </si>
  <si>
    <t xml:space="preserve">Supports concept of spatial justice as makes it sustainable platform of operations within a new primary system; Derisking the facility; Improving the accessibility of Groote Schuur</t>
  </si>
  <si>
    <t xml:space="preserve">Same argument as principle 3.1</t>
  </si>
  <si>
    <t xml:space="preserve">Management contractor runs procurement process. Which is limited</t>
  </si>
  <si>
    <t xml:space="preserve">PFMA, Governance, all qualified audits are good (aligned to all prescripts)</t>
  </si>
  <si>
    <t xml:space="preserve">Enables sustainable developments on precinct; less job opportunities will be created- takes score down to a 3</t>
  </si>
  <si>
    <t xml:space="preserve">Bitshoko Chauice</t>
  </si>
  <si>
    <t xml:space="preserve">Limited technology available; Mostly imported tech; do have local skills that can sell and maintain tech; Similar to new installations such as Tygerberg</t>
  </si>
  <si>
    <t xml:space="preserve">Fiber system linking electronics; remotely able to operate the system from a central point; SETA component is separate to this as it has to run on a separate ethernet; So largely standalone (separate ethernet network); Protection of cyber attack - need to understand how system runs on the speed</t>
  </si>
  <si>
    <t xml:space="preserve">Altaf Kumandan</t>
  </si>
  <si>
    <t xml:space="preserve">KD Govender-Moller</t>
  </si>
  <si>
    <t xml:space="preserve">S van Schalkwyk</t>
  </si>
  <si>
    <t xml:space="preserve">Department mapping: sub-principles against the 17 SDGs</t>
  </si>
  <si>
    <t xml:space="preserve">Sub-principles linked</t>
  </si>
  <si>
    <t xml:space="preserve">P = at least one primary target in that SDG · S = secondary targets only</t>
  </si>
  <si>
    <t xml:space="preserve">Goal title</t>
  </si>
  <si>
    <t xml:space="preserve">Colour</t>
  </si>
  <si>
    <t xml:space="preserve">Primary links</t>
  </si>
  <si>
    <t xml:space="preserve">End poverty in all its forms everywhere</t>
  </si>
  <si>
    <t xml:space="preserve">#E5243B</t>
  </si>
  <si>
    <t xml:space="preserve">Zero Hunger</t>
  </si>
  <si>
    <t xml:space="preserve">End hunger, achieve food security and improved nutrition and promote sustainable agriculture</t>
  </si>
  <si>
    <t xml:space="preserve">#DDA63A</t>
  </si>
  <si>
    <t xml:space="preserve">Good Health and Well-being</t>
  </si>
  <si>
    <t xml:space="preserve">Ensure healthy lives and promote well-being for all at all ages</t>
  </si>
  <si>
    <t xml:space="preserve">#4C9F38</t>
  </si>
  <si>
    <t xml:space="preserve">Ensure inclusive and equitable quality education and promote lifelong learning opportunities for all</t>
  </si>
  <si>
    <t xml:space="preserve">#C5192D</t>
  </si>
  <si>
    <t xml:space="preserve">Gender Equality</t>
  </si>
  <si>
    <t xml:space="preserve">Achieve gender equality and empower all women and girls</t>
  </si>
  <si>
    <t xml:space="preserve">#FF3A21</t>
  </si>
  <si>
    <t xml:space="preserve">Ensure availability and sustainable management of water and sanitation for all</t>
  </si>
  <si>
    <t xml:space="preserve">#26BDE2</t>
  </si>
  <si>
    <t xml:space="preserve">Ensure access to affordable, reliable, sustainable and modern energy for all</t>
  </si>
  <si>
    <t xml:space="preserve">#FCC30B</t>
  </si>
  <si>
    <t xml:space="preserve">Promote sustained, inclusive and sustainable economic growth, full and productive employment and decent work for all</t>
  </si>
  <si>
    <t xml:space="preserve">#A21942</t>
  </si>
  <si>
    <t xml:space="preserve">Build resilient infrastructure, promote inclusive and sustainable industrialization and foster innovation</t>
  </si>
  <si>
    <t xml:space="preserve">#FD6925</t>
  </si>
  <si>
    <t xml:space="preserve">Reduce inequality within and among countries</t>
  </si>
  <si>
    <t xml:space="preserve">#DD1367</t>
  </si>
  <si>
    <t xml:space="preserve">Make cities and human settlements inclusive, safe, resilient and sustainable</t>
  </si>
  <si>
    <t xml:space="preserve">#FD9D24</t>
  </si>
  <si>
    <t xml:space="preserve">Ensure sustainable consumption and production patterns</t>
  </si>
  <si>
    <t xml:space="preserve">#BF8B2E</t>
  </si>
  <si>
    <t xml:space="preserve">Take urgent action to combat climate change and its impacts</t>
  </si>
  <si>
    <t xml:space="preserve">#3F7E44</t>
  </si>
  <si>
    <t xml:space="preserve">Life Below Water</t>
  </si>
  <si>
    <t xml:space="preserve">Conserve and sustainably use the oceans, seas and marine resources for sustainable development</t>
  </si>
  <si>
    <t xml:space="preserve">#0A97D9</t>
  </si>
  <si>
    <t xml:space="preserve">Life on Land</t>
  </si>
  <si>
    <t xml:space="preserve">Protect, restore and promote sustainable use of terrestrial ecosystems, sustainably manage forests, combat desertification, and halt and reverse land degradation and halt biodiversity loss</t>
  </si>
  <si>
    <t xml:space="preserve">#56C02B</t>
  </si>
  <si>
    <t xml:space="preserve">Promote peaceful and inclusive societies for sustainable development, provide access to justice for all and build effective, accountable and inclusive institutions at all levels</t>
  </si>
  <si>
    <t xml:space="preserve">#00689D</t>
  </si>
  <si>
    <t xml:space="preserve">Strengthen the means of implementation and revitalize the Global Partnership for Sustainable Development</t>
  </si>
  <si>
    <t xml:space="preserve">#19486A</t>
  </si>
  <si>
    <t xml:space="preserve">SDG coverage summary</t>
  </si>
  <si>
    <t xml:space="preserve">Per goal: how many of its targets the Panoptic sub-principles reach. Counts come from 'SDG target coverage'; the amber columns are for the team.</t>
  </si>
  <si>
    <t xml:space="preserve">Goal</t>
  </si>
  <si>
    <t xml:space="preserve">Targets</t>
  </si>
  <si>
    <t xml:space="preserve">Linked targets</t>
  </si>
  <si>
    <t xml:space="preserve">With a primary link</t>
  </si>
  <si>
    <t xml:space="preserve">Secondary only</t>
  </si>
  <si>
    <t xml:space="preserve">Gaps</t>
  </si>
  <si>
    <t xml:space="preserve">Coverage</t>
  </si>
  <si>
    <t xml:space="preserve">Outcome-target gaps</t>
  </si>
  <si>
    <t xml:space="preserve">Sub-principles linking</t>
  </si>
  <si>
    <t xml:space="preserve">Principles linking</t>
  </si>
  <si>
    <t xml:space="preserve">Team priority</t>
  </si>
  <si>
    <t xml:space="preserve">Discussion notes</t>
  </si>
  <si>
    <t xml:space="preserve">All SDGs</t>
  </si>
  <si>
    <t xml:space="preserve">Goals with no link at all</t>
  </si>
  <si>
    <t xml:space="preserve">SDG target coverage: which Panoptic principles reach each SDG target</t>
  </si>
  <si>
    <t xml:space="preserve">All 169 targets. P = primary link, S = secondary link, from 'Target links' (formulas, so edits there flow through). Coverage: Primary link / Secondary only / Gap. The amber columns are for the team's gap discussion.</t>
  </si>
  <si>
    <t xml:space="preserve">PP1 Innovation</t>
  </si>
  <si>
    <t xml:space="preserve">PP2 Resilience</t>
  </si>
  <si>
    <t xml:space="preserve">PP3 Stakeholder value</t>
  </si>
  <si>
    <t xml:space="preserve">PP4 Governance</t>
  </si>
  <si>
    <t xml:space="preserve">For the team discussion</t>
  </si>
  <si>
    <t xml:space="preserve">Type</t>
  </si>
  <si>
    <t xml:space="preserve">Principles linked</t>
  </si>
  <si>
    <t xml:space="preserve">Relevance to the department</t>
  </si>
  <si>
    <t xml:space="preserve">Proposed sub-principle</t>
  </si>
  <si>
    <t xml:space="preserve">Proposed alignment</t>
  </si>
  <si>
    <t xml:space="preserve">Decision</t>
  </si>
  <si>
    <t xml:space="preserve">Notes and owner</t>
  </si>
  <si>
    <t xml:space="preserve">1.1</t>
  </si>
  <si>
    <t xml:space="preserve">By 2030, eradicate extreme poverty for all people everywhere, currently measured as people living on less than $1.25 a day</t>
  </si>
  <si>
    <t xml:space="preserve">1.2</t>
  </si>
  <si>
    <t xml:space="preserve">By 2030, reduce at least by half the proportion of men, women and children of all ages living in poverty in all its dimensions according to national definitions</t>
  </si>
  <si>
    <t xml:space="preserve">1.3</t>
  </si>
  <si>
    <t xml:space="preserve">Implement nationally appropriate social protection systems and measures for all, including floors, and by 2030 achieve substantial coverage of the poor and the vulnerable</t>
  </si>
  <si>
    <t xml:space="preserve">1.5</t>
  </si>
  <si>
    <t xml:space="preserve">By 2030, build the resilience of the poor and those in vulnerable situations and reduce their exposure and vulnerability to climate-related extreme events and other economic, social and environmental shocks and disasters</t>
  </si>
  <si>
    <t xml:space="preserve">1.a</t>
  </si>
  <si>
    <t xml:space="preserve">Means of implementation</t>
  </si>
  <si>
    <t xml:space="preserve">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</si>
  <si>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 xml:space="preserve">1.b</t>
  </si>
  <si>
    <t xml:space="preserve">Create sound policy frameworks at the national, regional and international levels, based on pro-poor and gender-sensitive development strategies, to support accelerated investment in poverty eradication actions</t>
  </si>
  <si>
    <t xml:space="preserve">2.1</t>
  </si>
  <si>
    <t xml:space="preserve">By 2030, end hunger and ensure access by all people, in particular the poor and people in vulnerable situations, including infants, to safe, nutritious and sufficient food all year round</t>
  </si>
  <si>
    <t xml:space="preserve">2.2</t>
  </si>
  <si>
    <t xml:space="preserve">By 2030, end all forms of malnutrition, including achieving, by 2025, the internationally agreed targets on stunting and wasting in children under 5 years of age, and address the nutritional needs of adolescent girls, pregnant and lactating women and older persons</t>
  </si>
  <si>
    <t xml:space="preserve">2.3</t>
  </si>
  <si>
    <t xml:space="preserve">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</si>
  <si>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 xml:space="preserve">2.4</t>
  </si>
  <si>
    <t xml:space="preserve">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</si>
  <si>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 xml:space="preserve">2.5</t>
  </si>
  <si>
    <t xml:space="preserve">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</si>
  <si>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 xml:space="preserve">2.a</t>
  </si>
  <si>
    <t xml:space="preserve">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</si>
  <si>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 xml:space="preserve">2.b</t>
  </si>
  <si>
    <t xml:space="preserve">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</si>
  <si>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 xml:space="preserve">2.c</t>
  </si>
  <si>
    <t xml:space="preserve">Adopt measures to ensure the proper functioning of food commodity markets and their derivatives and facilitate timely access to market information, including on food reserves, in order to help limit extreme food price volatility</t>
  </si>
  <si>
    <t xml:space="preserve">3.1</t>
  </si>
  <si>
    <t xml:space="preserve">By 2030, reduce the global maternal mortality ratio to less than 70 per 100,000 live births</t>
  </si>
  <si>
    <t xml:space="preserve">3.2</t>
  </si>
  <si>
    <t xml:space="preserve">By 2030, end preventable deaths of newborns and children under 5 years of age, with all countries aiming to reduce neonatal mortality to at least as low as 12 per 1,000 live births and under-5 mortality to at least as low as 25 per 1,000 live births</t>
  </si>
  <si>
    <t xml:space="preserve">3.3</t>
  </si>
  <si>
    <t xml:space="preserve">By 2030, end the epidemics of AIDS, tuberculosis, malaria and neglected tropical diseases and combat hepatitis, water-borne diseases and other communicable diseases</t>
  </si>
  <si>
    <t xml:space="preserve">3.4</t>
  </si>
  <si>
    <t xml:space="preserve">By 2030, reduce by one third premature mortality from non-communicable diseases through prevention and treatment and promote mental health and well-being</t>
  </si>
  <si>
    <t xml:space="preserve">3.5</t>
  </si>
  <si>
    <t xml:space="preserve">Strengthen the prevention and treatment of substance abuse, including narcotic drug abuse and harmful use of alcohol</t>
  </si>
  <si>
    <t xml:space="preserve">3.6</t>
  </si>
  <si>
    <t xml:space="preserve">By 2020, halve the number of global deaths and injuries from road traffic accidents</t>
  </si>
  <si>
    <t xml:space="preserve">3.7</t>
  </si>
  <si>
    <t xml:space="preserve">By 2030, ensure universal access to sexual and reproductive health-care services, including for family planning, information and education, and the integration of reproductive health into national strategies and programmes</t>
  </si>
  <si>
    <t xml:space="preserve">3.8</t>
  </si>
  <si>
    <t xml:space="preserve">Achieve universal health coverage, including financial risk protection, access to quality essential health-care services and access to safe, effective, quality and affordable essential medicines and vaccines for all</t>
  </si>
  <si>
    <t xml:space="preserve">3.9</t>
  </si>
  <si>
    <t xml:space="preserve">By 2030, substantially reduce the number of deaths and illnesses from hazardous chemicals and air, water and soil pollution and contamination</t>
  </si>
  <si>
    <t xml:space="preserve">3.a</t>
  </si>
  <si>
    <t xml:space="preserve">Strengthen the implementation of the World Health Organization Framework Convention on Tobacco Control in all countries, as appropriate</t>
  </si>
  <si>
    <t xml:space="preserve">3.b</t>
  </si>
  <si>
    <t xml:space="preserve">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</si>
  <si>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 xml:space="preserve">3.c</t>
  </si>
  <si>
    <t xml:space="preserve">Substantially increase health financing and the recruitment, development, training and retention of the health workforce in developing countries, especially in least developed countries and small island developing States</t>
  </si>
  <si>
    <t xml:space="preserve">3.d</t>
  </si>
  <si>
    <t xml:space="preserve">Strengthen the capacity of all countries, in particular developing countries, for early warning, risk reduction and management of national and global health risks</t>
  </si>
  <si>
    <t xml:space="preserve">4.1</t>
  </si>
  <si>
    <t xml:space="preserve">By 2030, ensure that all girls and boys complete free, equitable and quality primary and secondary education leading to relevant and effective learning outcomes</t>
  </si>
  <si>
    <t xml:space="preserve">4.2</t>
  </si>
  <si>
    <t xml:space="preserve">By 2030, ensure that all girls and boys have access to quality early childhood development, care and pre-primary education so that they are ready for primary education</t>
  </si>
  <si>
    <t xml:space="preserve">4.3</t>
  </si>
  <si>
    <t xml:space="preserve">By 2030, ensure equal access for all women and men to affordable and quality technical, vocational and tertiary education, including university</t>
  </si>
  <si>
    <t xml:space="preserve">4.5</t>
  </si>
  <si>
    <t xml:space="preserve">By 2030, eliminate gender disparities in education and ensure equal access to all levels of education and vocational training for the vulnerable, including persons with disabilities, indigenous peoples and children in vulnerable situations</t>
  </si>
  <si>
    <t xml:space="preserve">4.6</t>
  </si>
  <si>
    <t xml:space="preserve">By 2030, ensure that all youth and a substantial proportion of adults, both men and women, achieve literacy and numeracy</t>
  </si>
  <si>
    <t xml:space="preserve">4.7</t>
  </si>
  <si>
    <t xml:space="preserve">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</si>
  <si>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 xml:space="preserve">4.a</t>
  </si>
  <si>
    <t xml:space="preserve">Build and upgrade education facilities that are child, disability and gender sensitive and provide safe, non-violent, inclusive and effective learning environments for all</t>
  </si>
  <si>
    <t xml:space="preserve">4.b</t>
  </si>
  <si>
    <t xml:space="preserve">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</si>
  <si>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 xml:space="preserve">4.c</t>
  </si>
  <si>
    <t xml:space="preserve">By 2030, substantially increase the supply of qualified teachers, including through international cooperation for teacher training in developing countries, especially least developed countries and small island developing States</t>
  </si>
  <si>
    <t xml:space="preserve">5.1</t>
  </si>
  <si>
    <t xml:space="preserve">End all forms of discrimination against all women and girls everywhere</t>
  </si>
  <si>
    <t xml:space="preserve">5.2</t>
  </si>
  <si>
    <t xml:space="preserve">Eliminate all forms of violence against all women and girls in the public and private spheres, including trafficking and sexual and other types of exploitation</t>
  </si>
  <si>
    <t xml:space="preserve">5.3</t>
  </si>
  <si>
    <t xml:space="preserve">Eliminate all harmful practices, such as child, early and forced marriage and female genital mutilation</t>
  </si>
  <si>
    <t xml:space="preserve">5.4</t>
  </si>
  <si>
    <t xml:space="preserve">Recognize and value unpaid care and domestic work through the provision of public services, infrastructure and social protection policies and the promotion of shared responsibility within the household and the family as nationally appropriate</t>
  </si>
  <si>
    <t xml:space="preserve">5.5</t>
  </si>
  <si>
    <t xml:space="preserve">Ensure women's full and effective participation and equal opportunities for leadership at all levels of decision-making in political, economic and public life</t>
  </si>
  <si>
    <t xml:space="preserve">5.6</t>
  </si>
  <si>
    <t xml:space="preserve">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</si>
  <si>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 xml:space="preserve">5.a</t>
  </si>
  <si>
    <t xml:space="preserve">Undertake reforms to give women equal rights to economic resources, as well as access to ownership and control over land and other forms of property, financial services, inheritance and natural resources, in accordance with national laws</t>
  </si>
  <si>
    <t xml:space="preserve">5.b</t>
  </si>
  <si>
    <t xml:space="preserve">Enhance the use of enabling technology, in particular information and communications technology, to promote the empowerment of women</t>
  </si>
  <si>
    <t xml:space="preserve">5.c</t>
  </si>
  <si>
    <t xml:space="preserve">Adopt and strengthen sound policies and enforceable legislation for the promotion of gender equality and the empowerment of all women and girls at all levels</t>
  </si>
  <si>
    <t xml:space="preserve">6.1</t>
  </si>
  <si>
    <t xml:space="preserve">By 2030, achieve universal and equitable access to safe and affordable drinking water for all</t>
  </si>
  <si>
    <t xml:space="preserve">6.2</t>
  </si>
  <si>
    <t xml:space="preserve">By 2030, achieve access to adequate and equitable sanitation and hygiene for all and end open defecation, paying special attention to the needs of women and girls and those in vulnerable situations</t>
  </si>
  <si>
    <t xml:space="preserve">6.3</t>
  </si>
  <si>
    <t xml:space="preserve">By 2030, improve water quality by reducing pollution, eliminating dumping and minimizing release of hazardous chemicals and materials, halving the proportion of untreated wastewater and substantially increasing recycling and safe reuse globally</t>
  </si>
  <si>
    <t xml:space="preserve">6.6</t>
  </si>
  <si>
    <t xml:space="preserve">By 2020, protect and restore water-related ecosystems, including mountains, forests, wetlands, rivers, aquifers and lakes</t>
  </si>
  <si>
    <t xml:space="preserve">6.a</t>
  </si>
  <si>
    <t xml:space="preserve">By 2030, expand international cooperation and capacity-building support to developing countries in water- and sanitation-related activities and programmes, including water harvesting, desalination, water efficiency, wastewater treatment, recycling and reuse technologies</t>
  </si>
  <si>
    <t xml:space="preserve">6.b</t>
  </si>
  <si>
    <t xml:space="preserve">Support and strengthen the participation of local communities in improving water and sanitation management</t>
  </si>
  <si>
    <t xml:space="preserve">7.1</t>
  </si>
  <si>
    <t xml:space="preserve">By 2030, ensure universal access to affordable, reliable and modern energy services</t>
  </si>
  <si>
    <t xml:space="preserve">7.a</t>
  </si>
  <si>
    <t xml:space="preserve">By 2030, enhance international cooperation to facilitate access to clean energy research and technology, including renewable energy, energy efficiency and advanced and cleaner fossil-fuel technology, and promote investment in energy infrastructure and clean energy technology</t>
  </si>
  <si>
    <t xml:space="preserve">7.b</t>
  </si>
  <si>
    <t xml:space="preserve">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</si>
  <si>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 xml:space="preserve">8.1</t>
  </si>
  <si>
    <t xml:space="preserve">Sustain per capita economic growth in accordance with national circumstances and, in particular, at least 7 per cent gross domestic product growth per annum in the least developed countries</t>
  </si>
  <si>
    <t xml:space="preserve">8.4</t>
  </si>
  <si>
    <t xml:space="preserve">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</si>
  <si>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 xml:space="preserve">8.6</t>
  </si>
  <si>
    <t xml:space="preserve">By 2020, substantially reduce the proportion of youth not in employment, education or training</t>
  </si>
  <si>
    <t xml:space="preserve">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</si>
  <si>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</si>
  <si>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 xml:space="preserve">8.8</t>
  </si>
  <si>
    <t xml:space="preserve">Protect labour rights and promote safe and secure working environments for all workers, including migrant workers, in particular women migrants, and those in precarious employment</t>
  </si>
  <si>
    <t xml:space="preserve">8.9</t>
  </si>
  <si>
    <t xml:space="preserve">By 2030, devise and implement policies to promote sustainable tourism that creates jobs and promotes local culture and products</t>
  </si>
  <si>
    <t xml:space="preserve">8.10</t>
  </si>
  <si>
    <t xml:space="preserve">Strengthen the capacity of domestic financial institutions to encourage and expand access to banking, insurance and financial services for all</t>
  </si>
  <si>
    <t xml:space="preserve">8.a</t>
  </si>
  <si>
    <t xml:space="preserve">Increase Aid for Trade support for developing countries, in particular least developed countries, including through the Enhanced Integrated Framework for Trade-related Technical Assistance to Least Developed Countries</t>
  </si>
  <si>
    <t xml:space="preserve">8.b</t>
  </si>
  <si>
    <t xml:space="preserve">By 2020, develop and operationalize a global strategy for youth employment and implement the Global Jobs Pact of the International Labour Organization</t>
  </si>
  <si>
    <t xml:space="preserve">9.2</t>
  </si>
  <si>
    <t xml:space="preserve">Promote inclusive and sustainable industrialization and, by 2030, significantly raise industry's share of employment and gross domestic product, in line with national circumstances, and double its share in least developed countries</t>
  </si>
  <si>
    <t xml:space="preserve">9.3</t>
  </si>
  <si>
    <t xml:space="preserve">Increase the access of small-scale industrial and other enterprises, in particular in developing countries, to financial services, including affordable credit, and their integration into value chains and markets</t>
  </si>
  <si>
    <t xml:space="preserve">9.a</t>
  </si>
  <si>
    <t xml:space="preserve">Facilitate sustainable and resilient infrastructure development in developing countries through enhanced financial, technological and technical support to African countries, least developed countries, landlocked developing countries and small island developing States</t>
  </si>
  <si>
    <t xml:space="preserve">9.b</t>
  </si>
  <si>
    <t xml:space="preserve">Support domestic technology development, research and innovation in developing countries, including by ensuring a conducive policy environment for, inter alia, industrial diversification and value addition to commodities</t>
  </si>
  <si>
    <t xml:space="preserve">10.1</t>
  </si>
  <si>
    <t xml:space="preserve">By 2030, progressively achieve and sustain income growth of the bottom 40 per cent of the population at a rate higher than the national average</t>
  </si>
  <si>
    <t xml:space="preserve">10.3</t>
  </si>
  <si>
    <t xml:space="preserve">Ensure equal opportunity and reduce inequalities of outcome, including by eliminating discriminatory laws, policies and practices and promoting appropriate legislation, policies and action in this regard</t>
  </si>
  <si>
    <t xml:space="preserve">10.4</t>
  </si>
  <si>
    <t xml:space="preserve">Adopt policies, especially fiscal, wage and social protection policies, and progressively achieve greater equality</t>
  </si>
  <si>
    <t xml:space="preserve">10.5</t>
  </si>
  <si>
    <t xml:space="preserve">Improve the regulation and monitoring of global financial markets and institutions and strengthen the implementation of such regulations</t>
  </si>
  <si>
    <t xml:space="preserve">10.6</t>
  </si>
  <si>
    <t xml:space="preserve">Ensure enhanced representation and voice for developing countries in decision-making in global international economic and financial institutions in order to deliver more effective, credible, accountable and legitimate institutions</t>
  </si>
  <si>
    <t xml:space="preserve">10.7</t>
  </si>
  <si>
    <t xml:space="preserve">Facilitate orderly, safe, regular and responsible migration and mobility of people, including through the implementation of planned and well-managed migration policies</t>
  </si>
  <si>
    <t xml:space="preserve">10.a</t>
  </si>
  <si>
    <t xml:space="preserve">Implement the principle of special and differential treatment for developing countries, in particular least developed countries, in accordance with World Trade Organization agreements</t>
  </si>
  <si>
    <t xml:space="preserve">10.b</t>
  </si>
  <si>
    <t xml:space="preserve">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</si>
  <si>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 xml:space="preserve">10.c</t>
  </si>
  <si>
    <t xml:space="preserve">By 2030, reduce to less than 3 per cent the transaction costs of migrant remittances and eliminate remittance corridors with costs higher than 5 per cent</t>
  </si>
  <si>
    <t xml:space="preserve">11.4</t>
  </si>
  <si>
    <t xml:space="preserve">Strengthen efforts to protect and safeguard the world's cultural and natural heritage</t>
  </si>
  <si>
    <t xml:space="preserve">11.7</t>
  </si>
  <si>
    <t xml:space="preserve">By 2030, provide universal access to safe, inclusive and accessible, green and public spaces, in particular for women and children, older persons and persons with disabilities</t>
  </si>
  <si>
    <t xml:space="preserve">11.c</t>
  </si>
  <si>
    <t xml:space="preserve">Support least developed countries, including through financial and technical assistance, in building sustainable and resilient buildings utilizing local materials</t>
  </si>
  <si>
    <t xml:space="preserve">12.1</t>
  </si>
  <si>
    <t xml:space="preserve">Implement the 10-Year Framework of Programmes on Sustainable Consumption and Production Patterns, all countries taking action, with developed countries taking the lead, taking into account the development and capabilities of developing countries</t>
  </si>
  <si>
    <t xml:space="preserve">12.3</t>
  </si>
  <si>
    <t xml:space="preserve">By 2030, halve per capita global food waste at the retail and consumer levels and reduce food losses along production and supply chains, including post-harvest losses</t>
  </si>
  <si>
    <t xml:space="preserve">12.4</t>
  </si>
  <si>
    <t xml:space="preserve">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</si>
  <si>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 xml:space="preserve">12.5</t>
  </si>
  <si>
    <t xml:space="preserve">By 2030, substantially reduce waste generation through prevention, reduction, recycling and reuse</t>
  </si>
  <si>
    <t xml:space="preserve">12.6</t>
  </si>
  <si>
    <t xml:space="preserve">Encourage companies, especially large and transnational companies, to adopt sustainable practices and to integrate sustainability information into their reporting cycle</t>
  </si>
  <si>
    <t xml:space="preserve">12.8</t>
  </si>
  <si>
    <t xml:space="preserve">By 2030, ensure that people everywhere have the relevant information and awareness for sustainable development and lifestyles in harmony with nature</t>
  </si>
  <si>
    <t xml:space="preserve">12.a</t>
  </si>
  <si>
    <t xml:space="preserve">Support developing countries to strengthen their scientific and technological capacity to move towards more sustainable patterns of consumption and production</t>
  </si>
  <si>
    <t xml:space="preserve">12.b</t>
  </si>
  <si>
    <t xml:space="preserve">Develop and implement tools to monitor sustainable development impacts for sustainable tourism that creates jobs and promotes local culture and products</t>
  </si>
  <si>
    <t xml:space="preserve">12.c</t>
  </si>
  <si>
    <t xml:space="preserve">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</si>
  <si>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 xml:space="preserve">13.3</t>
  </si>
  <si>
    <t xml:space="preserve">Improve education, awareness-raising and human and institutional capacity on climate change mitigation, adaptation, impact reduction and early warning</t>
  </si>
  <si>
    <t xml:space="preserve">13.a</t>
  </si>
  <si>
    <t xml:space="preserve">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</si>
  <si>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 xml:space="preserve">13.b</t>
  </si>
  <si>
    <t xml:space="preserve">Promote mechanisms for raising capacity for effective climate change-related planning and management in least developed countries and small island developing States, including focusing on women, youth and local and marginalized communities</t>
  </si>
  <si>
    <t xml:space="preserve">14.1</t>
  </si>
  <si>
    <t xml:space="preserve">By 2025, prevent and significantly reduce marine pollution of all kinds, in particular from land-based activities, including marine debris and nutrient pollution</t>
  </si>
  <si>
    <t xml:space="preserve">14.2</t>
  </si>
  <si>
    <t xml:space="preserve">By 2020, sustainably manage and protect marine and coastal ecosystems to avoid significant adverse impacts, including by strengthening their resilience, and take action for their restoration in order to achieve healthy and productive oceans</t>
  </si>
  <si>
    <t xml:space="preserve">14.3</t>
  </si>
  <si>
    <t xml:space="preserve">Minimize and address the impacts of ocean acidification, including through enhanced scientific cooperation at all levels</t>
  </si>
  <si>
    <t xml:space="preserve">14.4</t>
  </si>
  <si>
    <t xml:space="preserve">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</si>
  <si>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 xml:space="preserve">14.5</t>
  </si>
  <si>
    <t xml:space="preserve">By 2020, conserve at least 10 per cent of coastal and marine areas, consistent with national and international law and based on the best available scientific information</t>
  </si>
  <si>
    <t xml:space="preserve">14.6</t>
  </si>
  <si>
    <t xml:space="preserve">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</si>
  <si>
    <t xml:space="preserve">14.7</t>
  </si>
  <si>
    <t xml:space="preserve">By 2030, increase the economic benefits to small island developing States and least developed countries from the sustainable use of marine resources, including through sustainable management of fisheries, aquaculture and tourism</t>
  </si>
  <si>
    <t xml:space="preserve">14.a</t>
  </si>
  <si>
    <t xml:space="preserve">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</si>
  <si>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 xml:space="preserve">14.b</t>
  </si>
  <si>
    <t xml:space="preserve">Provide access for small-scale artisanal fishers to marine resources and markets</t>
  </si>
  <si>
    <t xml:space="preserve">14.c</t>
  </si>
  <si>
    <t xml:space="preserve">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</si>
  <si>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 xml:space="preserve">15.1</t>
  </si>
  <si>
    <t xml:space="preserve">By 2020, ensure the conservation, restoration and sustainable use of terrestrial and inland freshwater ecosystems and their services, in particular forests, wetlands, mountains and drylands, in line with obligations under international agreements</t>
  </si>
  <si>
    <t xml:space="preserve">15.2</t>
  </si>
  <si>
    <t xml:space="preserve">By 2020, promote the implementation of sustainable management of all types of forests, halt deforestation, restore degraded forests and substantially increase afforestation and reforestation globally</t>
  </si>
  <si>
    <t xml:space="preserve">15.3</t>
  </si>
  <si>
    <t xml:space="preserve">By 2030, combat desertification, restore degraded land and soil, including land affected by desertification, drought and floods, and strive to achieve a land degradation-neutral world</t>
  </si>
  <si>
    <t xml:space="preserve">15.4</t>
  </si>
  <si>
    <t xml:space="preserve">By 2030, ensure the conservation of mountain ecosystems, including their biodiversity, in order to enhance their capacity to provide benefits that are essential for sustainable development</t>
  </si>
  <si>
    <t xml:space="preserve">15.5</t>
  </si>
  <si>
    <t xml:space="preserve">Take urgent and significant action to reduce the degradation of natural habitats, halt the loss of biodiversity and, by 2020, protect and prevent the extinction of threatened species</t>
  </si>
  <si>
    <t xml:space="preserve">15.6</t>
  </si>
  <si>
    <t xml:space="preserve">Promote fair and equitable sharing of the benefits arising from the utilization of genetic resources and promote appropriate access to such resources, as internationally agreed</t>
  </si>
  <si>
    <t xml:space="preserve">15.7</t>
  </si>
  <si>
    <t xml:space="preserve">Take urgent action to end poaching and trafficking of protected species of flora and fauna and address both demand and supply of illegal wildlife products</t>
  </si>
  <si>
    <t xml:space="preserve">15.8</t>
  </si>
  <si>
    <t xml:space="preserve">By 2020, introduce measures to prevent the introduction and significantly reduce the impact of invasive alien species on land and water ecosystems and control or eradicate the priority species</t>
  </si>
  <si>
    <t xml:space="preserve">15.9</t>
  </si>
  <si>
    <t xml:space="preserve">By 2020, integrate ecosystem and biodiversity values into national and local planning, development processes, poverty reduction strategies and accounts</t>
  </si>
  <si>
    <t xml:space="preserve">15.a</t>
  </si>
  <si>
    <t xml:space="preserve">Mobilize and significantly increase financial resources from all sources to conserve and sustainably use biodiversity and ecosystems</t>
  </si>
  <si>
    <t xml:space="preserve">15.b</t>
  </si>
  <si>
    <t xml:space="preserve">Mobilize significant resources from all sources and at all levels to finance sustainable forest management and provide adequate incentives to developing countries to advance such management, including for conservation and reforestation</t>
  </si>
  <si>
    <t xml:space="preserve">15.c</t>
  </si>
  <si>
    <t xml:space="preserve">Enhance global support for efforts to combat poaching and trafficking of protected species, including by increasing the capacity of local communities to pursue sustainable livelihood opportunities</t>
  </si>
  <si>
    <t xml:space="preserve">16.1</t>
  </si>
  <si>
    <t xml:space="preserve">Significantly reduce all forms of violence and related death rates everywhere</t>
  </si>
  <si>
    <t xml:space="preserve">16.2</t>
  </si>
  <si>
    <t xml:space="preserve">End abuse, exploitation, trafficking and all forms of violence against and torture of children</t>
  </si>
  <si>
    <t xml:space="preserve">16.3</t>
  </si>
  <si>
    <t xml:space="preserve">Promote the rule of law at the national and international levels and ensure equal access to justice for all</t>
  </si>
  <si>
    <t xml:space="preserve">16.4</t>
  </si>
  <si>
    <t xml:space="preserve">By 2030, significantly reduce illicit financial and arms flows, strengthen the recovery and return of stolen assets and combat all forms of organized crime</t>
  </si>
  <si>
    <t xml:space="preserve">16.5</t>
  </si>
  <si>
    <t xml:space="preserve">Substantially reduce corruption and bribery in all their forms</t>
  </si>
  <si>
    <t xml:space="preserve">16.8</t>
  </si>
  <si>
    <t xml:space="preserve">Broaden and strengthen the participation of developing countries in the institutions of global governance</t>
  </si>
  <si>
    <t xml:space="preserve">16.9</t>
  </si>
  <si>
    <t xml:space="preserve">By 2030, provide legal identity for all, including birth registration</t>
  </si>
  <si>
    <t xml:space="preserve">16.a</t>
  </si>
  <si>
    <t xml:space="preserve">Strengthen relevant national institutions, including through international cooperation, for building capacity at all levels, in particular in developing countries, to prevent violence and combat terrorism and crime</t>
  </si>
  <si>
    <t xml:space="preserve">16.b</t>
  </si>
  <si>
    <t xml:space="preserve">Promote and enforce non-discriminatory laws and policies for sustainable development</t>
  </si>
  <si>
    <t xml:space="preserve">17.2</t>
  </si>
  <si>
    <t xml:space="preserve">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</si>
  <si>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 xml:space="preserve">17.5</t>
  </si>
  <si>
    <t xml:space="preserve">Adopt and implement investment promotion regimes for least developed countries</t>
  </si>
  <si>
    <t xml:space="preserve">17.6</t>
  </si>
  <si>
    <t xml:space="preserve">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</si>
  <si>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 xml:space="preserve">17.7</t>
  </si>
  <si>
    <t xml:space="preserve">Promote the development, transfer, dissemination and diffusion of environmentally sound technologies to developing countries on favourable terms, including on concessional and preferential terms, as mutually agreed</t>
  </si>
  <si>
    <t xml:space="preserve">17.9</t>
  </si>
  <si>
    <t xml:space="preserve">Enhance international support for implementing effective and targeted capacity-building in developing countries to support national plans to implement all the Sustainable Development Goals, including through North-South, South-South and triangular cooperation</t>
  </si>
  <si>
    <t xml:space="preserve">17.10</t>
  </si>
  <si>
    <t xml:space="preserve">Promote a universal, rules-based, open, non-discriminatory and equitable multilateral trading system under the World Trade Organization, including through the conclusion of negotiations under its Doha Development Agenda</t>
  </si>
  <si>
    <t xml:space="preserve">17.11</t>
  </si>
  <si>
    <t xml:space="preserve">Significantly increase the exports of developing countries, in particular with a view to doubling the least developed countries' share of global exports by 2020</t>
  </si>
  <si>
    <t xml:space="preserve">17.12</t>
  </si>
  <si>
    <t xml:space="preserve">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</si>
  <si>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 xml:space="preserve">17.13</t>
  </si>
  <si>
    <t xml:space="preserve">Enhance global macroeconomic stability, including through policy coordination and policy coherence</t>
  </si>
  <si>
    <t xml:space="preserve">17.15</t>
  </si>
  <si>
    <t xml:space="preserve">Respect each country's policy space and leadership to establish and implement policies for poverty eradication and sustainable development</t>
  </si>
  <si>
    <t xml:space="preserve">17.18</t>
  </si>
  <si>
    <t xml:space="preserve">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</si>
  <si>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 xml:space="preserve">17.19</t>
  </si>
  <si>
    <t xml:space="preserve">By 2030, build on existing initiatives to develop measurements of progress on sustainable development that complement gross domestic product, and support statistical capacity-building in developing countries</t>
  </si>
  <si>
    <t xml:space="preserve">#</t>
  </si>
  <si>
    <t xml:space="preserve">Area</t>
  </si>
  <si>
    <t xml:space="preserve">Item</t>
  </si>
  <si>
    <t xml:space="preserve">Before</t>
  </si>
  <si>
    <t xml:space="preserve">After</t>
  </si>
  <si>
    <t xml:space="preserve">Reason</t>
  </si>
  <si>
    <t xml:space="preserve">efficiences (system map v4)</t>
  </si>
  <si>
    <t xml:space="preserve">efficiencies</t>
  </si>
  <si>
    <t xml:space="preserve">Department spelling kept</t>
  </si>
  <si>
    <t xml:space="preserve">Doesthe (system map v4)</t>
  </si>
  <si>
    <t xml:space="preserve">Does the</t>
  </si>
  <si>
    <t xml:space="preserve">Sub-principle name</t>
  </si>
  <si>
    <t xml:space="preserve">Funding and Budget Compliance (alignment sheet)</t>
  </si>
  <si>
    <t xml:space="preserve">Assessment-sheet name kept; it matches the criterion text</t>
  </si>
  <si>
    <t xml:space="preserve">Target text</t>
  </si>
  <si>
    <t xml:space="preserve">Target 13.1 text written twice (alignment sheet B4)</t>
  </si>
  <si>
    <t xml:space="preserve">Official UNSD wording</t>
  </si>
  <si>
    <t xml:space="preserve">Target texts now come from the UNSD framework</t>
  </si>
  <si>
    <t xml:space="preserve">'(ncourage' (alignment sheet C5)</t>
  </si>
  <si>
    <t xml:space="preserve">Encourage …</t>
  </si>
  <si>
    <t xml:space="preserve">Target code</t>
  </si>
  <si>
    <t xml:space="preserve">'11a' (alignment sheet C11)</t>
  </si>
  <si>
    <t xml:space="preserve">Codes normalised to the UNSD format</t>
  </si>
  <si>
    <t xml:space="preserve">NT (2024 column)</t>
  </si>
  <si>
    <t xml:space="preserve">NT/PFMA</t>
  </si>
  <si>
    <t xml:space="preserve">Short form replaced by the fuller Sep 26 form</t>
  </si>
  <si>
    <t xml:space="preserve">NIP (2024 column)</t>
  </si>
  <si>
    <t xml:space="preserve">NIP 2050</t>
  </si>
  <si>
    <t xml:space="preserve">PTLF</t>
  </si>
  <si>
    <t xml:space="preserve">PLTF</t>
  </si>
  <si>
    <t xml:space="preserve">Acronym spelling made consistent with the other rows</t>
  </si>
  <si>
    <t xml:space="preserve">GIAMAA</t>
  </si>
  <si>
    <t xml:space="preserve">GIAMA</t>
  </si>
  <si>
    <t xml:space="preserve">SDG's</t>
  </si>
  <si>
    <t xml:space="preserve">COGDA</t>
  </si>
  <si>
    <t xml:space="preserve">COGTA</t>
  </si>
  <si>
    <t xml:space="preserve">CODGA</t>
  </si>
  <si>
    <t xml:space="preserve">All</t>
  </si>
  <si>
    <t xml:space="preserve">Two columns: Sep 26 and 2024</t>
  </si>
  <si>
    <t xml:space="preserve">One merged, de-duplicated list (Sep 26 order, then any 2024 items not already listed)</t>
  </si>
  <si>
    <t xml:space="preserve">The 2024 list is fully contained in the Sep 26 list apart from the NT and NIP short forms; duplicates such as G4J in PP3.3 removed</t>
  </si>
  <si>
    <t xml:space="preserve">MSDG</t>
  </si>
  <si>
    <t xml:space="preserve">Confirmed correct by the department; kept as written</t>
  </si>
  <si>
    <t xml:space="preserve">SDIP</t>
  </si>
  <si>
    <t xml:space="preserve">UID</t>
  </si>
  <si>
    <t xml:space="preserve">Scope</t>
  </si>
  <si>
    <t xml:space="preserve">Suggested targets (10), system map v4 SDGs, AU Agenda 2063 goals</t>
  </si>
  <si>
    <t xml:space="preserve">Database now holds the department mapping only</t>
  </si>
  <si>
    <t xml:space="preserve">Weighted score = score ÷ 50 (weights column not used)</t>
  </si>
  <si>
    <t xml:space="preserve">Score ÷ 5 × weight, summed and divided by the weights scored</t>
  </si>
  <si>
    <t xml:space="preserve">Uses the department weights (total 100). For this project the result is the same (84%) because the scores happen to balance out</t>
  </si>
  <si>
    <t xml:space="preserve">Evaluator summary typed in by hand (0.53, 0.30, …) and averaged over 7</t>
  </si>
  <si>
    <t xml:space="preserve">Calculated from the evaluator scores</t>
  </si>
  <si>
    <t xml:space="preserve">Summary now follows the scores</t>
  </si>
  <si>
    <t xml:space="preserve">Evaluator 'Milne Von Leeuwen'</t>
  </si>
  <si>
    <t xml:space="preserve">Matches the project lead field</t>
  </si>
  <si>
    <t xml:space="preserve">Location 'Groote schuur hopsital'; stage 'Stage 3 - design Development'</t>
  </si>
  <si>
    <t xml:space="preserve">Groote Schuur Hospital; Stage 3 – Design Development</t>
  </si>
  <si>
    <t xml:space="preserve">Spelling and capitalisation</t>
  </si>
  <si>
    <t xml:space="preserve">Evaluator comments: Goverrncance → Governance; Highly Specified work.skills → Highly specified work. Skills; PMFA → PFMA; Proetction → Protection; Risk mitagtion → Risk mitigation; accesssibility → accessibility; argumemt as proinciple → argument as principle; as it as to run → as it has to run; collaboartive plannning → Collaborative planning; facitilty → facility; groote schuur → Groote Schuur; hosiptal → hospital; installltions → installations; loal → local; mantainece → maintenance; netweork → network; procurment proceess → procurement process; regenrating sustainabilty → Regenerating sustainability; sepate → separate; tygerberg → Tygerberg</t>
  </si>
  <si>
    <t xml:space="preserve">Corrected spelling</t>
  </si>
  <si>
    <t xml:space="preserve">Meaning unchanged; line breaks joined with semicolons</t>
  </si>
  <si>
    <t xml:space="preserve">All six evaluators gave identical scores</t>
  </si>
  <si>
    <t xml:space="preserve">(unchanged)</t>
  </si>
  <si>
    <t xml:space="preserve">Looks like one set of scores copied across; worth confirming with the evaluators</t>
  </si>
</sst>
</file>

<file path=xl/styles.xml><?xml version="1.0" encoding="utf-8"?>
<styleSheet xmlns="http://schemas.openxmlformats.org/spreadsheetml/2006/main">
  <numFmts count="7">
    <numFmt numFmtId="164" formatCode="General"/>
    <numFmt numFmtId="165" formatCode="@"/>
    <numFmt numFmtId="166" formatCode="General"/>
    <numFmt numFmtId="167" formatCode="yyyy\-mm\-dd"/>
    <numFmt numFmtId="168" formatCode="0.0%"/>
    <numFmt numFmtId="169" formatCode="0.00"/>
    <numFmt numFmtId="170" formatCode="0%"/>
  </numFmts>
  <fonts count="15">
    <font>
      <sz val="11"/>
      <color theme="1"/>
      <name val="Calibri"/>
      <family val="2"/>
      <charset val="1"/>
    </font>
    <font>
      <sz val="10"/>
      <name val="Arial"/>
      <family val="0"/>
    </font>
    <font>
      <sz val="10"/>
      <name val="Arial"/>
      <family val="0"/>
    </font>
    <font>
      <sz val="10"/>
      <name val="Arial"/>
      <family val="0"/>
    </font>
    <font>
      <b val="true"/>
      <sz val="14"/>
      <color rgb="FF19486A"/>
      <name val="Arial"/>
      <family val="0"/>
      <charset val="1"/>
    </font>
    <font>
      <i val="true"/>
      <sz val="9"/>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sz val="10"/>
      <name val="Arial"/>
      <family val="2"/>
    </font>
    <font>
      <b val="true"/>
      <sz val="10"/>
      <color rgb="FF000000"/>
      <name val="Arial"/>
      <family val="0"/>
      <charset val="1"/>
    </font>
    <font>
      <sz val="10"/>
      <color rgb="FF0000FF"/>
      <name val="Arial"/>
      <family val="0"/>
      <charset val="1"/>
    </font>
    <font>
      <b val="true"/>
      <sz val="12"/>
      <color rgb="FF19486A"/>
      <name val="Arial"/>
      <family val="0"/>
      <charset val="1"/>
    </font>
    <font>
      <b val="true"/>
      <sz val="13"/>
      <color rgb="FF19486A"/>
      <name val="Arial"/>
      <family val="0"/>
      <charset val="1"/>
    </font>
    <font>
      <b val="true"/>
      <sz val="9"/>
      <color rgb="FFFFFFFF"/>
      <name val="Arial"/>
      <family val="0"/>
      <charset val="1"/>
    </font>
  </fonts>
  <fills count="25">
    <fill>
      <patternFill patternType="none"/>
    </fill>
    <fill>
      <patternFill patternType="gray125"/>
    </fill>
    <fill>
      <patternFill patternType="solid">
        <fgColor rgb="FF19486A"/>
        <bgColor rgb="FF0B2A3F"/>
      </patternFill>
    </fill>
    <fill>
      <patternFill patternType="solid">
        <fgColor rgb="FFFD6925"/>
        <bgColor rgb="FFFF3A21"/>
      </patternFill>
    </fill>
    <fill>
      <patternFill patternType="solid">
        <fgColor rgb="FFA21942"/>
        <bgColor rgb="FFC5192D"/>
      </patternFill>
    </fill>
    <fill>
      <patternFill patternType="solid">
        <fgColor rgb="FFFD9D24"/>
        <bgColor rgb="FFDDA63A"/>
      </patternFill>
    </fill>
    <fill>
      <patternFill patternType="solid">
        <fgColor rgb="FFBF8B2E"/>
        <bgColor rgb="FFB87400"/>
      </patternFill>
    </fill>
    <fill>
      <patternFill patternType="solid">
        <fgColor rgb="FF00689D"/>
        <bgColor rgb="FF2A78D6"/>
      </patternFill>
    </fill>
    <fill>
      <patternFill patternType="solid">
        <fgColor rgb="FF3F7E44"/>
        <bgColor rgb="FF4C9F38"/>
      </patternFill>
    </fill>
    <fill>
      <patternFill patternType="solid">
        <fgColor rgb="FF26BDE2"/>
        <bgColor rgb="FF00CCFF"/>
      </patternFill>
    </fill>
    <fill>
      <patternFill patternType="solid">
        <fgColor rgb="FFFCC30B"/>
        <bgColor rgb="FFFD9D24"/>
      </patternFill>
    </fill>
    <fill>
      <patternFill patternType="solid">
        <fgColor rgb="FFC5192D"/>
        <bgColor rgb="FFE5243B"/>
      </patternFill>
    </fill>
    <fill>
      <patternFill patternType="solid">
        <fgColor rgb="FFDD1367"/>
        <bgColor rgb="FFE5243B"/>
      </patternFill>
    </fill>
    <fill>
      <patternFill patternType="solid">
        <fgColor rgb="FFE5243B"/>
        <bgColor rgb="FFC5192D"/>
      </patternFill>
    </fill>
    <fill>
      <patternFill patternType="solid">
        <fgColor rgb="FFDDA63A"/>
        <bgColor rgb="FFFD9D24"/>
      </patternFill>
    </fill>
    <fill>
      <patternFill patternType="solid">
        <fgColor rgb="FF4C9F38"/>
        <bgColor rgb="FF56C02B"/>
      </patternFill>
    </fill>
    <fill>
      <patternFill patternType="solid">
        <fgColor rgb="FFFF3A21"/>
        <bgColor rgb="FFE5243B"/>
      </patternFill>
    </fill>
    <fill>
      <patternFill patternType="solid">
        <fgColor rgb="FF0A97D9"/>
        <bgColor rgb="FF0F9B84"/>
      </patternFill>
    </fill>
    <fill>
      <patternFill patternType="solid">
        <fgColor rgb="FF56C02B"/>
        <bgColor rgb="FF4C9F38"/>
      </patternFill>
    </fill>
    <fill>
      <patternFill patternType="solid">
        <fgColor rgb="FF7A5A00"/>
        <bgColor rgb="FF595959"/>
      </patternFill>
    </fill>
    <fill>
      <patternFill patternType="solid">
        <fgColor rgb="FFFFF8E6"/>
        <bgColor rgb="FFFBEFEF"/>
      </patternFill>
    </fill>
    <fill>
      <patternFill patternType="solid">
        <fgColor rgb="FF2A78D6"/>
        <bgColor rgb="FF0A97D9"/>
      </patternFill>
    </fill>
    <fill>
      <patternFill patternType="solid">
        <fgColor rgb="FF0F9B84"/>
        <bgColor rgb="FF0A97D9"/>
      </patternFill>
    </fill>
    <fill>
      <patternFill patternType="solid">
        <fgColor rgb="FF9C3B8F"/>
        <bgColor rgb="FFA21942"/>
      </patternFill>
    </fill>
    <fill>
      <patternFill patternType="solid">
        <fgColor rgb="FFB87400"/>
        <bgColor rgb="FFBF8B2E"/>
      </patternFill>
    </fill>
  </fills>
  <borders count="3">
    <border diagonalUp="false" diagonalDown="false">
      <left/>
      <right/>
      <top/>
      <bottom/>
      <diagonal/>
    </border>
    <border diagonalUp="false" diagonalDown="false">
      <left/>
      <right/>
      <top/>
      <bottom style="thin">
        <color rgb="FF0B2A3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center" vertical="top" textRotation="0" wrapText="true" indent="0" shrinkToFit="false"/>
      <protection locked="true" hidden="false"/>
    </xf>
    <xf numFmtId="166" fontId="6" fillId="0" borderId="2" xfId="0" applyFont="true" applyBorder="true" applyAlignment="true" applyProtection="false">
      <alignment horizontal="center"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center" vertical="top" textRotation="0" wrapText="true" indent="0" shrinkToFit="false"/>
      <protection locked="true" hidden="false"/>
    </xf>
    <xf numFmtId="165" fontId="7" fillId="0" borderId="0" xfId="0" applyFont="true" applyBorder="fals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4" fontId="8" fillId="4" borderId="0" xfId="0" applyFont="true" applyBorder="false" applyAlignment="true" applyProtection="false">
      <alignment horizontal="center" vertical="top" textRotation="0" wrapText="true" indent="0" shrinkToFit="false"/>
      <protection locked="true" hidden="false"/>
    </xf>
    <xf numFmtId="164" fontId="10" fillId="5" borderId="0" xfId="0" applyFont="true" applyBorder="false" applyAlignment="true" applyProtection="false">
      <alignment horizontal="center" vertical="top" textRotation="0" wrapText="true" indent="0" shrinkToFit="false"/>
      <protection locked="true" hidden="false"/>
    </xf>
    <xf numFmtId="164" fontId="10" fillId="6" borderId="0" xfId="0" applyFont="true" applyBorder="false" applyAlignment="true" applyProtection="false">
      <alignment horizontal="center" vertical="top" textRotation="0" wrapText="true" indent="0" shrinkToFit="false"/>
      <protection locked="true" hidden="false"/>
    </xf>
    <xf numFmtId="164" fontId="8" fillId="7" borderId="0" xfId="0" applyFont="true" applyBorder="false" applyAlignment="true" applyProtection="false">
      <alignment horizontal="center" vertical="top" textRotation="0" wrapText="true" indent="0" shrinkToFit="false"/>
      <protection locked="true" hidden="false"/>
    </xf>
    <xf numFmtId="164" fontId="8" fillId="2" borderId="0" xfId="0" applyFont="true" applyBorder="false" applyAlignment="true" applyProtection="false">
      <alignment horizontal="center" vertical="top" textRotation="0" wrapText="true" indent="0" shrinkToFit="false"/>
      <protection locked="true" hidden="false"/>
    </xf>
    <xf numFmtId="164" fontId="8" fillId="8" borderId="0" xfId="0" applyFont="true" applyBorder="false" applyAlignment="true" applyProtection="false">
      <alignment horizontal="center" vertical="top" textRotation="0" wrapText="true" indent="0" shrinkToFit="false"/>
      <protection locked="true" hidden="false"/>
    </xf>
    <xf numFmtId="164" fontId="10" fillId="9" borderId="0" xfId="0" applyFont="true" applyBorder="false" applyAlignment="true" applyProtection="false">
      <alignment horizontal="center" vertical="top" textRotation="0" wrapText="true" indent="0" shrinkToFit="false"/>
      <protection locked="true" hidden="false"/>
    </xf>
    <xf numFmtId="164" fontId="10" fillId="10" borderId="0" xfId="0" applyFont="true" applyBorder="false" applyAlignment="true" applyProtection="false">
      <alignment horizontal="center" vertical="top" textRotation="0" wrapText="true" indent="0" shrinkToFit="false"/>
      <protection locked="true" hidden="false"/>
    </xf>
    <xf numFmtId="164" fontId="8" fillId="11" borderId="0" xfId="0" applyFont="true" applyBorder="false" applyAlignment="true" applyProtection="false">
      <alignment horizontal="center" vertical="top" textRotation="0" wrapText="true" indent="0" shrinkToFit="false"/>
      <protection locked="true" hidden="false"/>
    </xf>
    <xf numFmtId="164" fontId="8" fillId="12" borderId="0" xfId="0" applyFont="true" applyBorder="false" applyAlignment="true" applyProtection="false">
      <alignment horizontal="center" vertical="top" textRotation="0" wrapText="true" indent="0" shrinkToFit="false"/>
      <protection locked="true" hidden="false"/>
    </xf>
    <xf numFmtId="164" fontId="10" fillId="13" borderId="0" xfId="0" applyFont="true" applyBorder="false" applyAlignment="true" applyProtection="false">
      <alignment horizontal="center" vertical="top" textRotation="0" wrapText="true" indent="0" shrinkToFit="false"/>
      <protection locked="true" hidden="false"/>
    </xf>
    <xf numFmtId="165" fontId="11" fillId="0" borderId="0" xfId="0" applyFont="true" applyBorder="false" applyAlignment="true" applyProtection="false">
      <alignment horizontal="center"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7" fontId="11" fillId="0" borderId="0" xfId="0" applyFont="true" applyBorder="false" applyAlignment="true" applyProtection="false">
      <alignment horizontal="center" vertical="top" textRotation="0" wrapText="true" indent="0" shrinkToFit="false"/>
      <protection locked="true" hidden="false"/>
    </xf>
    <xf numFmtId="168" fontId="7" fillId="0" borderId="0" xfId="0" applyFont="true" applyBorder="false" applyAlignment="true" applyProtection="false">
      <alignment horizontal="center" vertical="top"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top" textRotation="0" wrapText="true" indent="0" shrinkToFit="false"/>
      <protection locked="true" hidden="false"/>
    </xf>
    <xf numFmtId="169" fontId="7" fillId="0" borderId="0" xfId="0" applyFont="true" applyBorder="fals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10" fillId="13" borderId="0" xfId="0" applyFont="true" applyBorder="false" applyAlignment="true" applyProtection="false">
      <alignment horizontal="center" vertical="center" textRotation="0" wrapText="false" indent="0" shrinkToFit="false"/>
      <protection locked="true" hidden="false"/>
    </xf>
    <xf numFmtId="164" fontId="10" fillId="14" borderId="0" xfId="0" applyFont="true" applyBorder="false" applyAlignment="true" applyProtection="false">
      <alignment horizontal="center" vertical="center" textRotation="0" wrapText="false" indent="0" shrinkToFit="false"/>
      <protection locked="true" hidden="false"/>
    </xf>
    <xf numFmtId="164" fontId="10" fillId="15" borderId="0" xfId="0" applyFont="true" applyBorder="false" applyAlignment="true" applyProtection="false">
      <alignment horizontal="center" vertical="center" textRotation="0" wrapText="false" indent="0" shrinkToFit="false"/>
      <protection locked="true" hidden="false"/>
    </xf>
    <xf numFmtId="164" fontId="8" fillId="11" borderId="0" xfId="0" applyFont="true" applyBorder="false" applyAlignment="true" applyProtection="false">
      <alignment horizontal="center" vertical="center" textRotation="0" wrapText="false" indent="0" shrinkToFit="false"/>
      <protection locked="true" hidden="false"/>
    </xf>
    <xf numFmtId="164" fontId="10" fillId="16"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4" fontId="10" fillId="10"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8" fillId="12" borderId="0" xfId="0" applyFont="true" applyBorder="false" applyAlignment="true" applyProtection="false">
      <alignment horizontal="center" vertical="center" textRotation="0" wrapText="false" indent="0" shrinkToFit="false"/>
      <protection locked="true" hidden="false"/>
    </xf>
    <xf numFmtId="164" fontId="10" fillId="5" borderId="0" xfId="0" applyFont="true" applyBorder="false" applyAlignment="true" applyProtection="false">
      <alignment horizontal="center" vertical="center" textRotation="0" wrapText="false" indent="0" shrinkToFit="false"/>
      <protection locked="true" hidden="false"/>
    </xf>
    <xf numFmtId="164" fontId="10" fillId="6" borderId="0" xfId="0" applyFont="true" applyBorder="false" applyAlignment="true" applyProtection="false">
      <alignment horizontal="center" vertical="center" textRotation="0" wrapText="false" indent="0" shrinkToFit="false"/>
      <protection locked="true" hidden="false"/>
    </xf>
    <xf numFmtId="164" fontId="8" fillId="8" borderId="0" xfId="0" applyFont="true" applyBorder="false" applyAlignment="true" applyProtection="false">
      <alignment horizontal="center" vertical="center" textRotation="0" wrapText="false" indent="0" shrinkToFit="false"/>
      <protection locked="true" hidden="false"/>
    </xf>
    <xf numFmtId="164" fontId="10" fillId="17" borderId="0" xfId="0" applyFont="true" applyBorder="false" applyAlignment="true" applyProtection="false">
      <alignment horizontal="center" vertical="center" textRotation="0" wrapText="false" indent="0" shrinkToFit="false"/>
      <protection locked="true" hidden="false"/>
    </xf>
    <xf numFmtId="164" fontId="10" fillId="18" borderId="0" xfId="0" applyFont="true" applyBorder="false" applyAlignment="true" applyProtection="false">
      <alignment horizontal="center" vertical="center" textRotation="0" wrapText="false" indent="0" shrinkToFit="false"/>
      <protection locked="true" hidden="false"/>
    </xf>
    <xf numFmtId="164" fontId="8" fillId="7" borderId="0" xfId="0" applyFont="true" applyBorder="fals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0" fillId="14" borderId="0" xfId="0" applyFont="true" applyBorder="false" applyAlignment="true" applyProtection="false">
      <alignment horizontal="center" vertical="top" textRotation="0" wrapText="true" indent="0" shrinkToFit="false"/>
      <protection locked="true" hidden="false"/>
    </xf>
    <xf numFmtId="164" fontId="10" fillId="15" borderId="0" xfId="0" applyFont="true" applyBorder="false" applyAlignment="true" applyProtection="false">
      <alignment horizontal="center" vertical="top" textRotation="0" wrapText="true" indent="0" shrinkToFit="false"/>
      <protection locked="true" hidden="false"/>
    </xf>
    <xf numFmtId="164" fontId="10" fillId="16" borderId="0" xfId="0" applyFont="true" applyBorder="false" applyAlignment="true" applyProtection="false">
      <alignment horizontal="center" vertical="top" textRotation="0" wrapText="true" indent="0" shrinkToFit="false"/>
      <protection locked="true" hidden="false"/>
    </xf>
    <xf numFmtId="164" fontId="10" fillId="17" borderId="0" xfId="0" applyFont="true" applyBorder="false" applyAlignment="true" applyProtection="false">
      <alignment horizontal="center" vertical="top" textRotation="0" wrapText="true" indent="0" shrinkToFit="false"/>
      <protection locked="true" hidden="false"/>
    </xf>
    <xf numFmtId="164" fontId="10" fillId="18" borderId="0" xfId="0" applyFont="true" applyBorder="fals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left" vertical="center" textRotation="0" wrapText="true" indent="0" shrinkToFit="false"/>
      <protection locked="true" hidden="false"/>
    </xf>
    <xf numFmtId="170" fontId="7" fillId="0" borderId="0" xfId="0" applyFont="true" applyBorder="false" applyAlignment="true" applyProtection="false">
      <alignment horizontal="center" vertical="top" textRotation="0" wrapText="true" indent="0" shrinkToFit="false"/>
      <protection locked="true" hidden="false"/>
    </xf>
    <xf numFmtId="164" fontId="11" fillId="20" borderId="0" xfId="0" applyFont="true" applyBorder="false" applyAlignment="true" applyProtection="false">
      <alignment horizontal="center" vertical="top" textRotation="0" wrapText="true" indent="0" shrinkToFit="false"/>
      <protection locked="true" hidden="false"/>
    </xf>
    <xf numFmtId="164" fontId="11" fillId="2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0" fontId="6" fillId="0" borderId="2"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top" textRotation="0" wrapText="true" indent="0" shrinkToFit="false"/>
      <protection locked="true" hidden="false"/>
    </xf>
    <xf numFmtId="164" fontId="14" fillId="21" borderId="0" xfId="0" applyFont="true" applyBorder="true" applyAlignment="true" applyProtection="false">
      <alignment horizontal="center" vertical="center" textRotation="0" wrapText="true" indent="0" shrinkToFit="false"/>
      <protection locked="true" hidden="false"/>
    </xf>
    <xf numFmtId="164" fontId="14" fillId="22" borderId="0" xfId="0" applyFont="true" applyBorder="true" applyAlignment="true" applyProtection="false">
      <alignment horizontal="center" vertical="center" textRotation="0" wrapText="true" indent="0" shrinkToFit="false"/>
      <protection locked="true" hidden="false"/>
    </xf>
    <xf numFmtId="164" fontId="14" fillId="23" borderId="0" xfId="0" applyFont="true" applyBorder="true" applyAlignment="true" applyProtection="false">
      <alignment horizontal="center" vertical="center" textRotation="0" wrapText="true" indent="0" shrinkToFit="false"/>
      <protection locked="true" hidden="false"/>
    </xf>
    <xf numFmtId="164" fontId="14" fillId="24" borderId="0" xfId="0" applyFont="true" applyBorder="true" applyAlignment="true" applyProtection="false">
      <alignment horizontal="center" vertical="center" textRotation="0" wrapText="true" indent="0" shrinkToFit="false"/>
      <protection locked="true" hidden="false"/>
    </xf>
    <xf numFmtId="164" fontId="14" fillId="19" borderId="0"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9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0">
    <dxf>
      <fill>
        <patternFill patternType="solid">
          <fgColor rgb="FF19486A"/>
          <bgColor rgb="FF000000"/>
        </patternFill>
      </fill>
    </dxf>
    <dxf>
      <fill>
        <patternFill patternType="solid">
          <bgColor rgb="FF000000"/>
        </patternFill>
      </fill>
    </dxf>
    <dxf>
      <fill>
        <patternFill patternType="solid">
          <fgColor rgb="FFFFFFFF"/>
          <bgColor rgb="FF000000"/>
        </patternFill>
      </fill>
    </dxf>
    <dxf>
      <fill>
        <patternFill patternType="solid">
          <fgColor rgb="FF00689D"/>
          <bgColor rgb="FF000000"/>
        </patternFill>
      </fill>
    </dxf>
    <dxf>
      <fill>
        <patternFill patternType="solid">
          <fgColor rgb="FF26BDE2"/>
          <bgColor rgb="FF000000"/>
        </patternFill>
      </fill>
    </dxf>
    <dxf>
      <fill>
        <patternFill patternType="solid">
          <fgColor rgb="FF3F7E44"/>
          <bgColor rgb="FF000000"/>
        </patternFill>
      </fill>
    </dxf>
    <dxf>
      <fill>
        <patternFill patternType="solid">
          <fgColor rgb="FFA21942"/>
          <bgColor rgb="FF000000"/>
        </patternFill>
      </fill>
    </dxf>
    <dxf>
      <fill>
        <patternFill patternType="solid">
          <fgColor rgb="FFBF8B2E"/>
          <bgColor rgb="FF000000"/>
        </patternFill>
      </fill>
    </dxf>
    <dxf>
      <fill>
        <patternFill patternType="solid">
          <fgColor rgb="FFC5192D"/>
          <bgColor rgb="FF000000"/>
        </patternFill>
      </fill>
    </dxf>
    <dxf>
      <fill>
        <patternFill patternType="solid">
          <fgColor rgb="FFDD1367"/>
          <bgColor rgb="FF000000"/>
        </patternFill>
      </fill>
    </dxf>
    <dxf>
      <fill>
        <patternFill patternType="solid">
          <fgColor rgb="FFE5243B"/>
          <bgColor rgb="FF000000"/>
        </patternFill>
      </fill>
    </dxf>
    <dxf>
      <fill>
        <patternFill patternType="solid">
          <fgColor rgb="FFFCC30B"/>
          <bgColor rgb="FF000000"/>
        </patternFill>
      </fill>
    </dxf>
    <dxf>
      <fill>
        <patternFill patternType="solid">
          <fgColor rgb="FFFD6925"/>
          <bgColor rgb="FF000000"/>
        </patternFill>
      </fill>
    </dxf>
    <dxf>
      <fill>
        <patternFill patternType="solid">
          <fgColor rgb="FFFD9D24"/>
          <bgColor rgb="FF000000"/>
        </patternFill>
      </fill>
    </dxf>
    <dxf>
      <fill>
        <patternFill patternType="solid">
          <fgColor rgb="FF000000"/>
          <bgColor rgb="FF000000"/>
        </patternFill>
      </fill>
    </dxf>
    <dxf>
      <font>
        <name val="Arial"/>
        <charset val="1"/>
        <family val="0"/>
        <b val="1"/>
        <color rgb="FFFFFFFF"/>
      </font>
      <fill>
        <patternFill>
          <bgColor rgb="FF19486A"/>
        </patternFill>
      </fill>
    </dxf>
    <dxf>
      <fill>
        <patternFill patternType="solid">
          <fgColor rgb="FF0000FF"/>
          <bgColor rgb="FF000000"/>
        </patternFill>
      </fill>
    </dxf>
    <dxf>
      <fill>
        <patternFill patternType="solid">
          <fgColor rgb="FFD4EED4"/>
          <bgColor rgb="FF000000"/>
        </patternFill>
      </fill>
    </dxf>
    <dxf>
      <fill>
        <patternFill>
          <bgColor rgb="FFD4EED4"/>
        </patternFill>
      </fill>
    </dxf>
    <dxf>
      <fill>
        <patternFill>
          <bgColor rgb="FFFBEBC4"/>
        </patternFill>
      </fill>
    </dxf>
    <dxf>
      <fill>
        <patternFill>
          <bgColor rgb="FFF6D5D5"/>
        </patternFill>
      </fill>
    </dxf>
    <dxf>
      <font>
        <name val="Arial"/>
        <charset val="1"/>
        <family val="0"/>
        <b val="1"/>
        <color rgb="FF19486A"/>
      </font>
      <fill>
        <patternFill>
          <bgColor rgb="FFBDD7EE"/>
        </patternFill>
      </fill>
    </dxf>
    <dxf>
      <fill>
        <patternFill>
          <bgColor rgb="FFF6D5D5"/>
        </patternFill>
      </fill>
    </dxf>
    <dxf>
      <fill>
        <patternFill patternType="solid">
          <fgColor rgb="FF0A97D9"/>
          <bgColor rgb="FF000000"/>
        </patternFill>
      </fill>
    </dxf>
    <dxf>
      <fill>
        <patternFill patternType="solid">
          <fgColor rgb="FF4C9F38"/>
          <bgColor rgb="FF000000"/>
        </patternFill>
      </fill>
    </dxf>
    <dxf>
      <fill>
        <patternFill patternType="solid">
          <fgColor rgb="FF56C02B"/>
          <bgColor rgb="FF000000"/>
        </patternFill>
      </fill>
    </dxf>
    <dxf>
      <fill>
        <patternFill patternType="solid">
          <fgColor rgb="FFDDA63A"/>
          <bgColor rgb="FF000000"/>
        </patternFill>
      </fill>
    </dxf>
    <dxf>
      <fill>
        <patternFill patternType="solid">
          <fgColor rgb="FFFF3A21"/>
          <bgColor rgb="FF000000"/>
        </patternFill>
      </fill>
    </dxf>
    <dxf>
      <fill>
        <patternFill patternType="solid">
          <fgColor rgb="FFFBEFEF"/>
          <bgColor rgb="FF000000"/>
        </patternFill>
      </fill>
    </dxf>
    <dxf>
      <fill>
        <patternFill patternType="solid">
          <fgColor rgb="FFBDD7EE"/>
          <bgColor rgb="FF000000"/>
        </patternFill>
      </fill>
    </dxf>
    <dxf>
      <fill>
        <patternFill patternType="solid">
          <fgColor rgb="FFCDEBCD"/>
          <bgColor rgb="FF000000"/>
        </patternFill>
      </fill>
    </dxf>
    <dxf>
      <fill>
        <patternFill patternType="solid">
          <fgColor rgb="FFF6D5D5"/>
          <bgColor rgb="FF000000"/>
        </patternFill>
      </fill>
    </dxf>
    <dxf>
      <fill>
        <patternFill patternType="solid">
          <fgColor rgb="FFFBE7B8"/>
          <bgColor rgb="FF000000"/>
        </patternFill>
      </fill>
    </dxf>
    <dxf>
      <fill>
        <patternFill patternType="solid">
          <fgColor rgb="FF7A5A00"/>
          <bgColor rgb="FF000000"/>
        </patternFill>
      </fill>
    </dxf>
    <dxf>
      <fill>
        <patternFill patternType="solid">
          <fgColor rgb="FFFFF8E6"/>
          <bgColor rgb="FF000000"/>
        </patternFill>
      </fill>
    </dxf>
    <dxf>
      <font>
        <b val="1"/>
        <color rgb="FFFFFFFF"/>
      </font>
      <fill>
        <patternFill>
          <bgColor rgb="FF19486A"/>
        </patternFill>
      </fill>
    </dxf>
    <dxf>
      <font>
        <b val="1"/>
        <color rgb="FF19486A"/>
      </font>
      <fill>
        <patternFill>
          <bgColor rgb="FFBDD7EE"/>
        </patternFill>
      </fill>
    </dxf>
    <dxf>
      <fill>
        <patternFill>
          <bgColor rgb="FFCDEBCD"/>
        </patternFill>
      </fill>
    </dxf>
    <dxf>
      <fill>
        <patternFill>
          <bgColor rgb="FFFBE7B8"/>
        </patternFill>
      </fill>
    </dxf>
    <dxf>
      <fill>
        <patternFill>
          <bgColor rgb="FFFBEFEF"/>
        </patternFill>
      </fill>
    </dxf>
  </dxfs>
  <colors>
    <indexedColors>
      <rgbColor rgb="FF000000"/>
      <rgbColor rgb="FFFFFFFF"/>
      <rgbColor rgb="FFE5243B"/>
      <rgbColor rgb="FF00FF00"/>
      <rgbColor rgb="FF0000FF"/>
      <rgbColor rgb="FFFFFF00"/>
      <rgbColor rgb="FFFF00FF"/>
      <rgbColor rgb="FF00FFFF"/>
      <rgbColor rgb="FFFF3A21"/>
      <rgbColor rgb="FF008000"/>
      <rgbColor rgb="FF000080"/>
      <rgbColor rgb="FF7A5A00"/>
      <rgbColor rgb="FFDD1367"/>
      <rgbColor rgb="FF0F9B84"/>
      <rgbColor rgb="FFFBE7B8"/>
      <rgbColor rgb="FF3F7E44"/>
      <rgbColor rgb="FF9999FF"/>
      <rgbColor rgb="FF9C3B8F"/>
      <rgbColor rgb="FFFFF8E6"/>
      <rgbColor rgb="FFCDEBCD"/>
      <rgbColor rgb="FF660066"/>
      <rgbColor rgb="FFDDA63A"/>
      <rgbColor rgb="FF00689D"/>
      <rgbColor rgb="FFBDD7EE"/>
      <rgbColor rgb="FF000080"/>
      <rgbColor rgb="FFFF00FF"/>
      <rgbColor rgb="FFFFFF00"/>
      <rgbColor rgb="FF00FFFF"/>
      <rgbColor rgb="FF800080"/>
      <rgbColor rgb="FF800000"/>
      <rgbColor rgb="FF0A97D9"/>
      <rgbColor rgb="FF0000FF"/>
      <rgbColor rgb="FF00CCFF"/>
      <rgbColor rgb="FFFBEFEF"/>
      <rgbColor rgb="FFD4EED4"/>
      <rgbColor rgb="FFFBEBC4"/>
      <rgbColor rgb="FF99CCFF"/>
      <rgbColor rgb="FFB87400"/>
      <rgbColor rgb="FFCC99FF"/>
      <rgbColor rgb="FFF6D5D5"/>
      <rgbColor rgb="FF2A78D6"/>
      <rgbColor rgb="FF26BDE2"/>
      <rgbColor rgb="FF56C02B"/>
      <rgbColor rgb="FFFCC30B"/>
      <rgbColor rgb="FFFD9D24"/>
      <rgbColor rgb="FFFD6925"/>
      <rgbColor rgb="FF595959"/>
      <rgbColor rgb="FFBF8B2E"/>
      <rgbColor rgb="FF0B2A3F"/>
      <rgbColor rgb="FF4C9F38"/>
      <rgbColor rgb="FF003300"/>
      <rgbColor rgb="FF333300"/>
      <rgbColor rgb="FFC5192D"/>
      <rgbColor rgb="FFA21942"/>
      <rgbColor rgb="FF1948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04"/>
  </cols>
  <sheetData>
    <row r="1" customFormat="false" ht="17.25" hidden="false" customHeight="true" outlineLevel="0" collapsed="false">
      <c r="A1" s="2" t="s">
        <v>0</v>
      </c>
    </row>
    <row r="2" customFormat="false" ht="15" hidden="false" customHeight="true" outlineLevel="0" collapsed="false">
      <c r="A2" s="3" t="s">
        <v>1</v>
      </c>
    </row>
    <row r="4" customFormat="false" ht="23.25" hidden="false" customHeight="true" outlineLevel="0" collapsed="false">
      <c r="A4" s="4" t="s">
        <v>2</v>
      </c>
      <c r="B4" s="5" t="s">
        <v>3</v>
      </c>
    </row>
    <row r="5" customFormat="false" ht="23.25" hidden="false" customHeight="true" outlineLevel="0" collapsed="false">
      <c r="A5" s="4" t="s">
        <v>4</v>
      </c>
      <c r="B5" s="5" t="s">
        <v>5</v>
      </c>
    </row>
    <row r="6" customFormat="false" ht="23.25" hidden="false" customHeight="true" outlineLevel="0" collapsed="false">
      <c r="A6" s="4" t="s">
        <v>6</v>
      </c>
      <c r="B6" s="5" t="s">
        <v>7</v>
      </c>
    </row>
    <row r="7" customFormat="false" ht="23.25" hidden="false" customHeight="true" outlineLevel="0" collapsed="false">
      <c r="A7" s="4" t="s">
        <v>8</v>
      </c>
      <c r="B7" s="5" t="s">
        <v>9</v>
      </c>
    </row>
    <row r="8" customFormat="false" ht="15" hidden="false" customHeight="true" outlineLevel="0" collapsed="false">
      <c r="A8" s="4" t="s">
        <v>10</v>
      </c>
      <c r="B8" s="5" t="s">
        <v>11</v>
      </c>
    </row>
    <row r="9" customFormat="false" ht="15" hidden="false" customHeight="true" outlineLevel="0" collapsed="false">
      <c r="A9" s="4" t="s">
        <v>12</v>
      </c>
      <c r="B9" s="5" t="s">
        <v>13</v>
      </c>
    </row>
    <row r="10" customFormat="false" ht="15" hidden="false" customHeight="true" outlineLevel="0" collapsed="false">
      <c r="A10" s="4" t="s">
        <v>14</v>
      </c>
      <c r="B10" s="5" t="s">
        <v>15</v>
      </c>
    </row>
    <row r="11" customFormat="false" ht="23.25" hidden="false" customHeight="true" outlineLevel="0" collapsed="false">
      <c r="A11" s="4" t="s">
        <v>16</v>
      </c>
      <c r="B11" s="5" t="s">
        <v>17</v>
      </c>
    </row>
    <row r="12" customFormat="false" ht="15" hidden="false" customHeight="true" outlineLevel="0" collapsed="false">
      <c r="A12" s="4" t="s">
        <v>18</v>
      </c>
      <c r="B12" s="5" t="s">
        <v>19</v>
      </c>
    </row>
    <row r="13" customFormat="false" ht="23.25" hidden="false" customHeight="true" outlineLevel="0" collapsed="false">
      <c r="A13" s="4" t="s">
        <v>20</v>
      </c>
      <c r="B13" s="5" t="s">
        <v>21</v>
      </c>
    </row>
    <row r="14" customFormat="false" ht="35.05" hidden="false" customHeight="false" outlineLevel="0" collapsed="false">
      <c r="A14" s="4" t="s">
        <v>22</v>
      </c>
      <c r="B14"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6"/>
    <col collapsed="false" customWidth="true" hidden="false" outlineLevel="0" max="3" min="3" style="1" width="18"/>
    <col collapsed="false" customWidth="true" hidden="false" outlineLevel="0" max="4" min="4" style="1" width="13"/>
    <col collapsed="false" customWidth="true" hidden="false" outlineLevel="0" max="5" min="5" style="1" width="9"/>
    <col collapsed="false" customWidth="true" hidden="false" outlineLevel="0" max="6" min="6" style="1" width="26"/>
    <col collapsed="false" customWidth="true" hidden="false" outlineLevel="0" max="7" min="7" style="1" width="16"/>
    <col collapsed="false" customWidth="true" hidden="false" outlineLevel="0" max="8" min="8" style="1" width="11"/>
    <col collapsed="false" customWidth="true" hidden="false" outlineLevel="0" max="9" min="9" style="1" width="12"/>
  </cols>
  <sheetData>
    <row r="1" customFormat="false" ht="30" hidden="false" customHeight="true" outlineLevel="0" collapsed="false">
      <c r="A1" s="6" t="s">
        <v>24</v>
      </c>
      <c r="B1" s="6" t="s">
        <v>25</v>
      </c>
      <c r="C1" s="6" t="s">
        <v>26</v>
      </c>
      <c r="D1" s="7" t="s">
        <v>27</v>
      </c>
      <c r="E1" s="7" t="s">
        <v>28</v>
      </c>
      <c r="F1" s="6" t="s">
        <v>29</v>
      </c>
      <c r="G1" s="6" t="s">
        <v>30</v>
      </c>
      <c r="H1" s="7" t="s">
        <v>31</v>
      </c>
      <c r="I1" s="7" t="s">
        <v>32</v>
      </c>
    </row>
    <row r="2" customFormat="false" ht="15" hidden="false" customHeight="true" outlineLevel="0" collapsed="false">
      <c r="A2" s="8" t="s">
        <v>33</v>
      </c>
      <c r="B2" s="5" t="s">
        <v>34</v>
      </c>
      <c r="C2" s="5" t="s">
        <v>35</v>
      </c>
      <c r="D2" s="9" t="n">
        <f aca="false">COUNTIF('Sub-principles'!$B$2:$B$11,A2)</f>
        <v>2</v>
      </c>
      <c r="E2" s="9" t="n">
        <f aca="false">SUMIF('Sub-principles'!$B$2:$B$11,A2,'Sub-principles'!$E$2:$E$11)</f>
        <v>16</v>
      </c>
      <c r="F2" s="5" t="str">
        <f aca="false">_xlfn.TEXTJOIN(", ",TRUE(),IF(COUNTIFS(tl_principle,$A2,tl_sdg,1)&gt;0,"1",""),IF(COUNTIFS(tl_principle,$A2,tl_sdg,2)&gt;0,"2",""),IF(COUNTIFS(tl_principle,$A2,tl_sdg,3)&gt;0,"3",""),IF(COUNTIFS(tl_principle,$A2,tl_sdg,4)&gt;0,"4",""),IF(COUNTIFS(tl_principle,$A2,tl_sdg,5)&gt;0,"5",""),IF(COUNTIFS(tl_principle,$A2,tl_sdg,6)&gt;0,"6",""),IF(COUNTIFS(tl_principle,$A2,tl_sdg,7)&gt;0,"7",""),IF(COUNTIFS(tl_principle,$A2,tl_sdg,8)&gt;0,"8",""),IF(COUNTIFS(tl_principle,$A2,tl_sdg,9)&gt;0,"9",""),IF(COUNTIFS(tl_principle,$A2,tl_sdg,10)&gt;0,"10",""),IF(COUNTIFS(tl_principle,$A2,tl_sdg,11)&gt;0,"11",""),IF(COUNTIFS(tl_principle,$A2,tl_sdg,12)&gt;0,"12",""),IF(COUNTIFS(tl_principle,$A2,tl_sdg,13)&gt;0,"13",""),IF(COUNTIFS(tl_principle,$A2,tl_sdg,14)&gt;0,"14",""),IF(COUNTIFS(tl_principle,$A2,tl_sdg,15)&gt;0,"15",""),IF(COUNTIFS(tl_principle,$A2,tl_sdg,16)&gt;0,"16",""),IF(COUNTIFS(tl_principle,$A2,tl_sdg,17)&gt;0,"17",""))</f>
        <v>8, 9, 11, 12, 16, 17</v>
      </c>
      <c r="G2" s="5" t="str">
        <f aca="false">_xlfn.TEXTJOIN(", ",TRUE(),IF(COUNTIFS(tl_principle,$A2,tl_sdg,1,tl_align,"Primary")&gt;0,"1",""),IF(COUNTIFS(tl_principle,$A2,tl_sdg,2,tl_align,"Primary")&gt;0,"2",""),IF(COUNTIFS(tl_principle,$A2,tl_sdg,3,tl_align,"Primary")&gt;0,"3",""),IF(COUNTIFS(tl_principle,$A2,tl_sdg,4,tl_align,"Primary")&gt;0,"4",""),IF(COUNTIFS(tl_principle,$A2,tl_sdg,5,tl_align,"Primary")&gt;0,"5",""),IF(COUNTIFS(tl_principle,$A2,tl_sdg,6,tl_align,"Primary")&gt;0,"6",""),IF(COUNTIFS(tl_principle,$A2,tl_sdg,7,tl_align,"Primary")&gt;0,"7",""),IF(COUNTIFS(tl_principle,$A2,tl_sdg,8,tl_align,"Primary")&gt;0,"8",""),IF(COUNTIFS(tl_principle,$A2,tl_sdg,9,tl_align,"Primary")&gt;0,"9",""),IF(COUNTIFS(tl_principle,$A2,tl_sdg,10,tl_align,"Primary")&gt;0,"10",""),IF(COUNTIFS(tl_principle,$A2,tl_sdg,11,tl_align,"Primary")&gt;0,"11",""),IF(COUNTIFS(tl_principle,$A2,tl_sdg,12,tl_align,"Primary")&gt;0,"12",""),IF(COUNTIFS(tl_principle,$A2,tl_sdg,13,tl_align,"Primary")&gt;0,"13",""),IF(COUNTIFS(tl_principle,$A2,tl_sdg,14,tl_align,"Primary")&gt;0,"14",""),IF(COUNTIFS(tl_principle,$A2,tl_sdg,15,tl_align,"Primary")&gt;0,"15",""),IF(COUNTIFS(tl_principle,$A2,tl_sdg,16,tl_align,"Primary")&gt;0,"16",""),IF(COUNTIFS(tl_principle,$A2,tl_sdg,17,tl_align,"Primary")&gt;0,"17",""))</f>
        <v>9</v>
      </c>
      <c r="H2" s="9" t="n">
        <f aca="false">COUNTIF(tl_principle,A2)</f>
        <v>12</v>
      </c>
      <c r="I2" s="9" t="n">
        <f aca="false">SUMIF('Sub-principles'!$B$2:$B$11,A2,'Sub-principles'!$M$2:$M$11)</f>
        <v>19</v>
      </c>
    </row>
    <row r="3" customFormat="false" ht="15" hidden="false" customHeight="true" outlineLevel="0" collapsed="false">
      <c r="A3" s="8" t="s">
        <v>36</v>
      </c>
      <c r="B3" s="5" t="s">
        <v>37</v>
      </c>
      <c r="C3" s="5" t="s">
        <v>38</v>
      </c>
      <c r="D3" s="9" t="n">
        <f aca="false">COUNTIF('Sub-principles'!$B$2:$B$11,A3)</f>
        <v>3</v>
      </c>
      <c r="E3" s="9" t="n">
        <f aca="false">SUMIF('Sub-principles'!$B$2:$B$11,A3,'Sub-principles'!$E$2:$E$11)</f>
        <v>24</v>
      </c>
      <c r="F3" s="5" t="str">
        <f aca="false">_xlfn.TEXTJOIN(", ",TRUE(),IF(COUNTIFS(tl_principle,$A3,tl_sdg,1)&gt;0,"1",""),IF(COUNTIFS(tl_principle,$A3,tl_sdg,2)&gt;0,"2",""),IF(COUNTIFS(tl_principle,$A3,tl_sdg,3)&gt;0,"3",""),IF(COUNTIFS(tl_principle,$A3,tl_sdg,4)&gt;0,"4",""),IF(COUNTIFS(tl_principle,$A3,tl_sdg,5)&gt;0,"5",""),IF(COUNTIFS(tl_principle,$A3,tl_sdg,6)&gt;0,"6",""),IF(COUNTIFS(tl_principle,$A3,tl_sdg,7)&gt;0,"7",""),IF(COUNTIFS(tl_principle,$A3,tl_sdg,8)&gt;0,"8",""),IF(COUNTIFS(tl_principle,$A3,tl_sdg,9)&gt;0,"9",""),IF(COUNTIFS(tl_principle,$A3,tl_sdg,10)&gt;0,"10",""),IF(COUNTIFS(tl_principle,$A3,tl_sdg,11)&gt;0,"11",""),IF(COUNTIFS(tl_principle,$A3,tl_sdg,12)&gt;0,"12",""),IF(COUNTIFS(tl_principle,$A3,tl_sdg,13)&gt;0,"13",""),IF(COUNTIFS(tl_principle,$A3,tl_sdg,14)&gt;0,"14",""),IF(COUNTIFS(tl_principle,$A3,tl_sdg,15)&gt;0,"15",""),IF(COUNTIFS(tl_principle,$A3,tl_sdg,16)&gt;0,"16",""),IF(COUNTIFS(tl_principle,$A3,tl_sdg,17)&gt;0,"17",""))</f>
        <v>6, 7, 8, 9, 11, 12, 13, 17</v>
      </c>
      <c r="G3" s="5" t="str">
        <f aca="false">_xlfn.TEXTJOIN(", ",TRUE(),IF(COUNTIFS(tl_principle,$A3,tl_sdg,1,tl_align,"Primary")&gt;0,"1",""),IF(COUNTIFS(tl_principle,$A3,tl_sdg,2,tl_align,"Primary")&gt;0,"2",""),IF(COUNTIFS(tl_principle,$A3,tl_sdg,3,tl_align,"Primary")&gt;0,"3",""),IF(COUNTIFS(tl_principle,$A3,tl_sdg,4,tl_align,"Primary")&gt;0,"4",""),IF(COUNTIFS(tl_principle,$A3,tl_sdg,5,tl_align,"Primary")&gt;0,"5",""),IF(COUNTIFS(tl_principle,$A3,tl_sdg,6,tl_align,"Primary")&gt;0,"6",""),IF(COUNTIFS(tl_principle,$A3,tl_sdg,7,tl_align,"Primary")&gt;0,"7",""),IF(COUNTIFS(tl_principle,$A3,tl_sdg,8,tl_align,"Primary")&gt;0,"8",""),IF(COUNTIFS(tl_principle,$A3,tl_sdg,9,tl_align,"Primary")&gt;0,"9",""),IF(COUNTIFS(tl_principle,$A3,tl_sdg,10,tl_align,"Primary")&gt;0,"10",""),IF(COUNTIFS(tl_principle,$A3,tl_sdg,11,tl_align,"Primary")&gt;0,"11",""),IF(COUNTIFS(tl_principle,$A3,tl_sdg,12,tl_align,"Primary")&gt;0,"12",""),IF(COUNTIFS(tl_principle,$A3,tl_sdg,13,tl_align,"Primary")&gt;0,"13",""),IF(COUNTIFS(tl_principle,$A3,tl_sdg,14,tl_align,"Primary")&gt;0,"14",""),IF(COUNTIFS(tl_principle,$A3,tl_sdg,15,tl_align,"Primary")&gt;0,"15",""),IF(COUNTIFS(tl_principle,$A3,tl_sdg,16,tl_align,"Primary")&gt;0,"16",""),IF(COUNTIFS(tl_principle,$A3,tl_sdg,17,tl_align,"Primary")&gt;0,"17",""))</f>
        <v>9, 11, 12, 13</v>
      </c>
      <c r="H3" s="9" t="n">
        <f aca="false">COUNTIF(tl_principle,A3)</f>
        <v>23</v>
      </c>
      <c r="I3" s="9" t="n">
        <f aca="false">SUMIF('Sub-principles'!$B$2:$B$11,A3,'Sub-principles'!$M$2:$M$11)</f>
        <v>39</v>
      </c>
    </row>
    <row r="4" customFormat="false" ht="15" hidden="false" customHeight="true" outlineLevel="0" collapsed="false">
      <c r="A4" s="8" t="s">
        <v>39</v>
      </c>
      <c r="B4" s="5" t="s">
        <v>40</v>
      </c>
      <c r="C4" s="5" t="s">
        <v>41</v>
      </c>
      <c r="D4" s="9" t="n">
        <f aca="false">COUNTIF('Sub-principles'!$B$2:$B$11,A4)</f>
        <v>3</v>
      </c>
      <c r="E4" s="9" t="n">
        <f aca="false">SUMIF('Sub-principles'!$B$2:$B$11,A4,'Sub-principles'!$E$2:$E$11)</f>
        <v>32</v>
      </c>
      <c r="F4" s="5" t="str">
        <f aca="false">_xlfn.TEXTJOIN(", ",TRUE(),IF(COUNTIFS(tl_principle,$A4,tl_sdg,1)&gt;0,"1",""),IF(COUNTIFS(tl_principle,$A4,tl_sdg,2)&gt;0,"2",""),IF(COUNTIFS(tl_principle,$A4,tl_sdg,3)&gt;0,"3",""),IF(COUNTIFS(tl_principle,$A4,tl_sdg,4)&gt;0,"4",""),IF(COUNTIFS(tl_principle,$A4,tl_sdg,5)&gt;0,"5",""),IF(COUNTIFS(tl_principle,$A4,tl_sdg,6)&gt;0,"6",""),IF(COUNTIFS(tl_principle,$A4,tl_sdg,7)&gt;0,"7",""),IF(COUNTIFS(tl_principle,$A4,tl_sdg,8)&gt;0,"8",""),IF(COUNTIFS(tl_principle,$A4,tl_sdg,9)&gt;0,"9",""),IF(COUNTIFS(tl_principle,$A4,tl_sdg,10)&gt;0,"10",""),IF(COUNTIFS(tl_principle,$A4,tl_sdg,11)&gt;0,"11",""),IF(COUNTIFS(tl_principle,$A4,tl_sdg,12)&gt;0,"12",""),IF(COUNTIFS(tl_principle,$A4,tl_sdg,13)&gt;0,"13",""),IF(COUNTIFS(tl_principle,$A4,tl_sdg,14)&gt;0,"14",""),IF(COUNTIFS(tl_principle,$A4,tl_sdg,15)&gt;0,"15",""),IF(COUNTIFS(tl_principle,$A4,tl_sdg,16)&gt;0,"16",""),IF(COUNTIFS(tl_principle,$A4,tl_sdg,17)&gt;0,"17",""))</f>
        <v>1, 4, 8, 9, 10, 11, 12, 16, 17</v>
      </c>
      <c r="G4" s="5" t="str">
        <f aca="false">_xlfn.TEXTJOIN(", ",TRUE(),IF(COUNTIFS(tl_principle,$A4,tl_sdg,1,tl_align,"Primary")&gt;0,"1",""),IF(COUNTIFS(tl_principle,$A4,tl_sdg,2,tl_align,"Primary")&gt;0,"2",""),IF(COUNTIFS(tl_principle,$A4,tl_sdg,3,tl_align,"Primary")&gt;0,"3",""),IF(COUNTIFS(tl_principle,$A4,tl_sdg,4,tl_align,"Primary")&gt;0,"4",""),IF(COUNTIFS(tl_principle,$A4,tl_sdg,5,tl_align,"Primary")&gt;0,"5",""),IF(COUNTIFS(tl_principle,$A4,tl_sdg,6,tl_align,"Primary")&gt;0,"6",""),IF(COUNTIFS(tl_principle,$A4,tl_sdg,7,tl_align,"Primary")&gt;0,"7",""),IF(COUNTIFS(tl_principle,$A4,tl_sdg,8,tl_align,"Primary")&gt;0,"8",""),IF(COUNTIFS(tl_principle,$A4,tl_sdg,9,tl_align,"Primary")&gt;0,"9",""),IF(COUNTIFS(tl_principle,$A4,tl_sdg,10,tl_align,"Primary")&gt;0,"10",""),IF(COUNTIFS(tl_principle,$A4,tl_sdg,11,tl_align,"Primary")&gt;0,"11",""),IF(COUNTIFS(tl_principle,$A4,tl_sdg,12,tl_align,"Primary")&gt;0,"12",""),IF(COUNTIFS(tl_principle,$A4,tl_sdg,13,tl_align,"Primary")&gt;0,"13",""),IF(COUNTIFS(tl_principle,$A4,tl_sdg,14,tl_align,"Primary")&gt;0,"14",""),IF(COUNTIFS(tl_principle,$A4,tl_sdg,15,tl_align,"Primary")&gt;0,"15",""),IF(COUNTIFS(tl_principle,$A4,tl_sdg,16,tl_align,"Primary")&gt;0,"16",""),IF(COUNTIFS(tl_principle,$A4,tl_sdg,17,tl_align,"Primary")&gt;0,"17",""))</f>
        <v>10, 11, 17</v>
      </c>
      <c r="H4" s="9" t="n">
        <f aca="false">COUNTIF(tl_principle,A4)</f>
        <v>20</v>
      </c>
      <c r="I4" s="9" t="n">
        <f aca="false">SUMIF('Sub-principles'!$B$2:$B$11,A4,'Sub-principles'!$M$2:$M$11)</f>
        <v>29</v>
      </c>
    </row>
    <row r="5" customFormat="false" ht="15" hidden="false" customHeight="true" outlineLevel="0" collapsed="false">
      <c r="A5" s="8" t="s">
        <v>42</v>
      </c>
      <c r="B5" s="5" t="s">
        <v>43</v>
      </c>
      <c r="C5" s="5" t="s">
        <v>44</v>
      </c>
      <c r="D5" s="9" t="n">
        <f aca="false">COUNTIF('Sub-principles'!$B$2:$B$11,A5)</f>
        <v>2</v>
      </c>
      <c r="E5" s="9" t="n">
        <f aca="false">SUMIF('Sub-principles'!$B$2:$B$11,A5,'Sub-principles'!$E$2:$E$11)</f>
        <v>28</v>
      </c>
      <c r="F5" s="5" t="str">
        <f aca="false">_xlfn.TEXTJOIN(", ",TRUE(),IF(COUNTIFS(tl_principle,$A5,tl_sdg,1)&gt;0,"1",""),IF(COUNTIFS(tl_principle,$A5,tl_sdg,2)&gt;0,"2",""),IF(COUNTIFS(tl_principle,$A5,tl_sdg,3)&gt;0,"3",""),IF(COUNTIFS(tl_principle,$A5,tl_sdg,4)&gt;0,"4",""),IF(COUNTIFS(tl_principle,$A5,tl_sdg,5)&gt;0,"5",""),IF(COUNTIFS(tl_principle,$A5,tl_sdg,6)&gt;0,"6",""),IF(COUNTIFS(tl_principle,$A5,tl_sdg,7)&gt;0,"7",""),IF(COUNTIFS(tl_principle,$A5,tl_sdg,8)&gt;0,"8",""),IF(COUNTIFS(tl_principle,$A5,tl_sdg,9)&gt;0,"9",""),IF(COUNTIFS(tl_principle,$A5,tl_sdg,10)&gt;0,"10",""),IF(COUNTIFS(tl_principle,$A5,tl_sdg,11)&gt;0,"11",""),IF(COUNTIFS(tl_principle,$A5,tl_sdg,12)&gt;0,"12",""),IF(COUNTIFS(tl_principle,$A5,tl_sdg,13)&gt;0,"13",""),IF(COUNTIFS(tl_principle,$A5,tl_sdg,14)&gt;0,"14",""),IF(COUNTIFS(tl_principle,$A5,tl_sdg,15)&gt;0,"15",""),IF(COUNTIFS(tl_principle,$A5,tl_sdg,16)&gt;0,"16",""),IF(COUNTIFS(tl_principle,$A5,tl_sdg,17)&gt;0,"17",""))</f>
        <v>8, 10, 11, 16, 17</v>
      </c>
      <c r="G5" s="5" t="str">
        <f aca="false">_xlfn.TEXTJOIN(", ",TRUE(),IF(COUNTIFS(tl_principle,$A5,tl_sdg,1,tl_align,"Primary")&gt;0,"1",""),IF(COUNTIFS(tl_principle,$A5,tl_sdg,2,tl_align,"Primary")&gt;0,"2",""),IF(COUNTIFS(tl_principle,$A5,tl_sdg,3,tl_align,"Primary")&gt;0,"3",""),IF(COUNTIFS(tl_principle,$A5,tl_sdg,4,tl_align,"Primary")&gt;0,"4",""),IF(COUNTIFS(tl_principle,$A5,tl_sdg,5,tl_align,"Primary")&gt;0,"5",""),IF(COUNTIFS(tl_principle,$A5,tl_sdg,6,tl_align,"Primary")&gt;0,"6",""),IF(COUNTIFS(tl_principle,$A5,tl_sdg,7,tl_align,"Primary")&gt;0,"7",""),IF(COUNTIFS(tl_principle,$A5,tl_sdg,8,tl_align,"Primary")&gt;0,"8",""),IF(COUNTIFS(tl_principle,$A5,tl_sdg,9,tl_align,"Primary")&gt;0,"9",""),IF(COUNTIFS(tl_principle,$A5,tl_sdg,10,tl_align,"Primary")&gt;0,"10",""),IF(COUNTIFS(tl_principle,$A5,tl_sdg,11,tl_align,"Primary")&gt;0,"11",""),IF(COUNTIFS(tl_principle,$A5,tl_sdg,12,tl_align,"Primary")&gt;0,"12",""),IF(COUNTIFS(tl_principle,$A5,tl_sdg,13,tl_align,"Primary")&gt;0,"13",""),IF(COUNTIFS(tl_principle,$A5,tl_sdg,14,tl_align,"Primary")&gt;0,"14",""),IF(COUNTIFS(tl_principle,$A5,tl_sdg,15,tl_align,"Primary")&gt;0,"15",""),IF(COUNTIFS(tl_principle,$A5,tl_sdg,16,tl_align,"Primary")&gt;0,"16",""),IF(COUNTIFS(tl_principle,$A5,tl_sdg,17,tl_align,"Primary")&gt;0,"17",""))</f>
        <v>16</v>
      </c>
      <c r="H5" s="9" t="n">
        <f aca="false">COUNTIF(tl_principle,A5)</f>
        <v>11</v>
      </c>
      <c r="I5" s="9" t="n">
        <f aca="false">SUMIF('Sub-principles'!$B$2:$B$11,A5,'Sub-principles'!$M$2:$M$11)</f>
        <v>16</v>
      </c>
    </row>
    <row r="6" customFormat="false" ht="15" hidden="false" customHeight="true" outlineLevel="0" collapsed="false">
      <c r="B6" s="4" t="s">
        <v>45</v>
      </c>
      <c r="D6" s="10" t="n">
        <f aca="false">SUM(D2:D5)</f>
        <v>10</v>
      </c>
      <c r="E6" s="10" t="n">
        <f aca="false">SUM(E2:E5)</f>
        <v>100</v>
      </c>
      <c r="H6" s="10" t="n">
        <f aca="false">SUM(H2:H5)</f>
        <v>66</v>
      </c>
      <c r="I6" s="10" t="n">
        <f aca="false">SUM(I2:I5)</f>
        <v>103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9"/>
    <col collapsed="false" customWidth="true" hidden="false" outlineLevel="0" max="3" min="3" style="1" width="30"/>
    <col collapsed="false" customWidth="true" hidden="false" outlineLevel="0" max="4" min="4" style="1" width="24"/>
    <col collapsed="false" customWidth="true" hidden="false" outlineLevel="0" max="5" min="5" style="1" width="8"/>
    <col collapsed="false" customWidth="true" hidden="false" outlineLevel="0" max="6" min="6" style="1" width="50"/>
    <col collapsed="false" customWidth="true" hidden="false" outlineLevel="0" max="7" min="7" style="1" width="48"/>
    <col collapsed="false" customWidth="true" hidden="false" outlineLevel="0" max="8" min="8" style="1" width="10"/>
    <col collapsed="false" customWidth="true" hidden="false" outlineLevel="0" max="9" min="9" style="1" width="14"/>
    <col collapsed="false" customWidth="true" hidden="false" outlineLevel="0" max="10" min="10" style="1" width="16"/>
    <col collapsed="false" customWidth="true" hidden="false" outlineLevel="0" max="11" min="11" style="1" width="26"/>
    <col collapsed="false" customWidth="true" hidden="false" outlineLevel="0" max="13" min="12" style="1" width="9"/>
    <col collapsed="false" customWidth="true" hidden="false" outlineLevel="0" max="14" min="14" style="1" width="40"/>
    <col collapsed="false" customWidth="true" hidden="false" outlineLevel="0" max="15" min="15" style="1" width="60"/>
  </cols>
  <sheetData>
    <row r="1" customFormat="false" ht="30" hidden="false" customHeight="true" outlineLevel="0" collapsed="false">
      <c r="A1" s="6" t="s">
        <v>46</v>
      </c>
      <c r="B1" s="6" t="s">
        <v>24</v>
      </c>
      <c r="C1" s="6" t="s">
        <v>25</v>
      </c>
      <c r="D1" s="6" t="s">
        <v>26</v>
      </c>
      <c r="E1" s="7" t="s">
        <v>28</v>
      </c>
      <c r="F1" s="6" t="s">
        <v>47</v>
      </c>
      <c r="G1" s="6" t="s">
        <v>48</v>
      </c>
      <c r="H1" s="6" t="s">
        <v>30</v>
      </c>
      <c r="I1" s="6" t="s">
        <v>49</v>
      </c>
      <c r="J1" s="6" t="s">
        <v>50</v>
      </c>
      <c r="K1" s="6" t="s">
        <v>51</v>
      </c>
      <c r="L1" s="7" t="s">
        <v>31</v>
      </c>
      <c r="M1" s="7" t="s">
        <v>32</v>
      </c>
      <c r="N1" s="6" t="s">
        <v>52</v>
      </c>
      <c r="O1" s="6" t="s">
        <v>6</v>
      </c>
    </row>
    <row r="2" customFormat="false" ht="45.75" hidden="false" customHeight="true" outlineLevel="0" collapsed="false">
      <c r="A2" s="8" t="s">
        <v>53</v>
      </c>
      <c r="B2" s="11" t="s">
        <v>33</v>
      </c>
      <c r="C2" s="5" t="s">
        <v>54</v>
      </c>
      <c r="D2" s="5" t="s">
        <v>55</v>
      </c>
      <c r="E2" s="9" t="n">
        <v>8</v>
      </c>
      <c r="F2" s="5" t="s">
        <v>56</v>
      </c>
      <c r="G2" s="5" t="s">
        <v>57</v>
      </c>
      <c r="H2" s="5" t="str">
        <f aca="false">_xlfn.TEXTJOIN(", ",TRUE(),IF(COUNTIFS(tl_sub,$A2,tl_sdg,1,tl_align,"Primary")&gt;0,"1",""),IF(COUNTIFS(tl_sub,$A2,tl_sdg,2,tl_align,"Primary")&gt;0,"2",""),IF(COUNTIFS(tl_sub,$A2,tl_sdg,3,tl_align,"Primary")&gt;0,"3",""),IF(COUNTIFS(tl_sub,$A2,tl_sdg,4,tl_align,"Primary")&gt;0,"4",""),IF(COUNTIFS(tl_sub,$A2,tl_sdg,5,tl_align,"Primary")&gt;0,"5",""),IF(COUNTIFS(tl_sub,$A2,tl_sdg,6,tl_align,"Primary")&gt;0,"6",""),IF(COUNTIFS(tl_sub,$A2,tl_sdg,7,tl_align,"Primary")&gt;0,"7",""),IF(COUNTIFS(tl_sub,$A2,tl_sdg,8,tl_align,"Primary")&gt;0,"8",""),IF(COUNTIFS(tl_sub,$A2,tl_sdg,9,tl_align,"Primary")&gt;0,"9",""),IF(COUNTIFS(tl_sub,$A2,tl_sdg,10,tl_align,"Primary")&gt;0,"10",""),IF(COUNTIFS(tl_sub,$A2,tl_sdg,11,tl_align,"Primary")&gt;0,"11",""),IF(COUNTIFS(tl_sub,$A2,tl_sdg,12,tl_align,"Primary")&gt;0,"12",""),IF(COUNTIFS(tl_sub,$A2,tl_sdg,13,tl_align,"Primary")&gt;0,"13",""),IF(COUNTIFS(tl_sub,$A2,tl_sdg,14,tl_align,"Primary")&gt;0,"14",""),IF(COUNTIFS(tl_sub,$A2,tl_sdg,15,tl_align,"Primary")&gt;0,"15",""),IF(COUNTIFS(tl_sub,$A2,tl_sdg,16,tl_align,"Primary")&gt;0,"16",""),IF(COUNTIFS(tl_sub,$A2,tl_sdg,17,tl_align,"Primary")&gt;0,"17",""))</f>
        <v>9</v>
      </c>
      <c r="I2" s="5" t="str">
        <f aca="false">_xlfn.TEXTJOIN(", ",TRUE(),IF(COUNTIFS(tl_sub,$A2,tl_sdg,1,tl_align,"Secondary")&gt;0,"1",""),IF(COUNTIFS(tl_sub,$A2,tl_sdg,2,tl_align,"Secondary")&gt;0,"2",""),IF(COUNTIFS(tl_sub,$A2,tl_sdg,3,tl_align,"Secondary")&gt;0,"3",""),IF(COUNTIFS(tl_sub,$A2,tl_sdg,4,tl_align,"Secondary")&gt;0,"4",""),IF(COUNTIFS(tl_sub,$A2,tl_sdg,5,tl_align,"Secondary")&gt;0,"5",""),IF(COUNTIFS(tl_sub,$A2,tl_sdg,6,tl_align,"Secondary")&gt;0,"6",""),IF(COUNTIFS(tl_sub,$A2,tl_sdg,7,tl_align,"Secondary")&gt;0,"7",""),IF(COUNTIFS(tl_sub,$A2,tl_sdg,8,tl_align,"Secondary")&gt;0,"8",""),IF(COUNTIFS(tl_sub,$A2,tl_sdg,9,tl_align,"Secondary")&gt;0,"9",""),IF(COUNTIFS(tl_sub,$A2,tl_sdg,10,tl_align,"Secondary")&gt;0,"10",""),IF(COUNTIFS(tl_sub,$A2,tl_sdg,11,tl_align,"Secondary")&gt;0,"11",""),IF(COUNTIFS(tl_sub,$A2,tl_sdg,12,tl_align,"Secondary")&gt;0,"12",""),IF(COUNTIFS(tl_sub,$A2,tl_sdg,13,tl_align,"Secondary")&gt;0,"13",""),IF(COUNTIFS(tl_sub,$A2,tl_sdg,14,tl_align,"Secondary")&gt;0,"14",""),IF(COUNTIFS(tl_sub,$A2,tl_sdg,15,tl_align,"Secondary")&gt;0,"15",""),IF(COUNTIFS(tl_sub,$A2,tl_sdg,16,tl_align,"Secondary")&gt;0,"16",""),IF(COUNTIFS(tl_sub,$A2,tl_sdg,17,tl_align,"Secondary")&gt;0,"17",""))</f>
        <v>8, 11, 12</v>
      </c>
      <c r="J2" s="11" t="s">
        <v>58</v>
      </c>
      <c r="K2" s="11" t="s">
        <v>59</v>
      </c>
      <c r="L2" s="9" t="n">
        <f aca="false">COUNTIF(tl_sub,A2)</f>
        <v>6</v>
      </c>
      <c r="M2" s="9" t="n">
        <f aca="false">COUNTIF(il_sub,A2)</f>
        <v>10</v>
      </c>
      <c r="N2" s="5" t="s">
        <v>60</v>
      </c>
      <c r="O2" s="5" t="s">
        <v>61</v>
      </c>
    </row>
    <row r="3" customFormat="false" ht="34.5" hidden="false" customHeight="true" outlineLevel="0" collapsed="false">
      <c r="A3" s="8" t="s">
        <v>62</v>
      </c>
      <c r="B3" s="11" t="s">
        <v>33</v>
      </c>
      <c r="C3" s="5" t="s">
        <v>63</v>
      </c>
      <c r="D3" s="5" t="s">
        <v>64</v>
      </c>
      <c r="E3" s="9" t="n">
        <v>8</v>
      </c>
      <c r="F3" s="5" t="s">
        <v>65</v>
      </c>
      <c r="G3" s="5" t="s">
        <v>66</v>
      </c>
      <c r="H3" s="5" t="str">
        <f aca="false">_xlfn.TEXTJOIN(", ",TRUE(),IF(COUNTIFS(tl_sub,$A3,tl_sdg,1,tl_align,"Primary")&gt;0,"1",""),IF(COUNTIFS(tl_sub,$A3,tl_sdg,2,tl_align,"Primary")&gt;0,"2",""),IF(COUNTIFS(tl_sub,$A3,tl_sdg,3,tl_align,"Primary")&gt;0,"3",""),IF(COUNTIFS(tl_sub,$A3,tl_sdg,4,tl_align,"Primary")&gt;0,"4",""),IF(COUNTIFS(tl_sub,$A3,tl_sdg,5,tl_align,"Primary")&gt;0,"5",""),IF(COUNTIFS(tl_sub,$A3,tl_sdg,6,tl_align,"Primary")&gt;0,"6",""),IF(COUNTIFS(tl_sub,$A3,tl_sdg,7,tl_align,"Primary")&gt;0,"7",""),IF(COUNTIFS(tl_sub,$A3,tl_sdg,8,tl_align,"Primary")&gt;0,"8",""),IF(COUNTIFS(tl_sub,$A3,tl_sdg,9,tl_align,"Primary")&gt;0,"9",""),IF(COUNTIFS(tl_sub,$A3,tl_sdg,10,tl_align,"Primary")&gt;0,"10",""),IF(COUNTIFS(tl_sub,$A3,tl_sdg,11,tl_align,"Primary")&gt;0,"11",""),IF(COUNTIFS(tl_sub,$A3,tl_sdg,12,tl_align,"Primary")&gt;0,"12",""),IF(COUNTIFS(tl_sub,$A3,tl_sdg,13,tl_align,"Primary")&gt;0,"13",""),IF(COUNTIFS(tl_sub,$A3,tl_sdg,14,tl_align,"Primary")&gt;0,"14",""),IF(COUNTIFS(tl_sub,$A3,tl_sdg,15,tl_align,"Primary")&gt;0,"15",""),IF(COUNTIFS(tl_sub,$A3,tl_sdg,16,tl_align,"Primary")&gt;0,"16",""),IF(COUNTIFS(tl_sub,$A3,tl_sdg,17,tl_align,"Primary")&gt;0,"17",""))</f>
        <v>9</v>
      </c>
      <c r="I3" s="5" t="str">
        <f aca="false">_xlfn.TEXTJOIN(", ",TRUE(),IF(COUNTIFS(tl_sub,$A3,tl_sdg,1,tl_align,"Secondary")&gt;0,"1",""),IF(COUNTIFS(tl_sub,$A3,tl_sdg,2,tl_align,"Secondary")&gt;0,"2",""),IF(COUNTIFS(tl_sub,$A3,tl_sdg,3,tl_align,"Secondary")&gt;0,"3",""),IF(COUNTIFS(tl_sub,$A3,tl_sdg,4,tl_align,"Secondary")&gt;0,"4",""),IF(COUNTIFS(tl_sub,$A3,tl_sdg,5,tl_align,"Secondary")&gt;0,"5",""),IF(COUNTIFS(tl_sub,$A3,tl_sdg,6,tl_align,"Secondary")&gt;0,"6",""),IF(COUNTIFS(tl_sub,$A3,tl_sdg,7,tl_align,"Secondary")&gt;0,"7",""),IF(COUNTIFS(tl_sub,$A3,tl_sdg,8,tl_align,"Secondary")&gt;0,"8",""),IF(COUNTIFS(tl_sub,$A3,tl_sdg,9,tl_align,"Secondary")&gt;0,"9",""),IF(COUNTIFS(tl_sub,$A3,tl_sdg,10,tl_align,"Secondary")&gt;0,"10",""),IF(COUNTIFS(tl_sub,$A3,tl_sdg,11,tl_align,"Secondary")&gt;0,"11",""),IF(COUNTIFS(tl_sub,$A3,tl_sdg,12,tl_align,"Secondary")&gt;0,"12",""),IF(COUNTIFS(tl_sub,$A3,tl_sdg,13,tl_align,"Secondary")&gt;0,"13",""),IF(COUNTIFS(tl_sub,$A3,tl_sdg,14,tl_align,"Secondary")&gt;0,"14",""),IF(COUNTIFS(tl_sub,$A3,tl_sdg,15,tl_align,"Secondary")&gt;0,"15",""),IF(COUNTIFS(tl_sub,$A3,tl_sdg,16,tl_align,"Secondary")&gt;0,"16",""),IF(COUNTIFS(tl_sub,$A3,tl_sdg,17,tl_align,"Secondary")&gt;0,"17",""))</f>
        <v>8, 16, 17</v>
      </c>
      <c r="J3" s="11" t="s">
        <v>67</v>
      </c>
      <c r="K3" s="11" t="s">
        <v>68</v>
      </c>
      <c r="L3" s="9" t="n">
        <f aca="false">COUNTIF(tl_sub,A3)</f>
        <v>6</v>
      </c>
      <c r="M3" s="9" t="n">
        <f aca="false">COUNTIF(il_sub,A3)</f>
        <v>9</v>
      </c>
      <c r="N3" s="5" t="s">
        <v>69</v>
      </c>
      <c r="O3" s="5" t="s">
        <v>70</v>
      </c>
    </row>
    <row r="4" customFormat="false" ht="57" hidden="false" customHeight="true" outlineLevel="0" collapsed="false">
      <c r="A4" s="8" t="s">
        <v>71</v>
      </c>
      <c r="B4" s="11" t="s">
        <v>36</v>
      </c>
      <c r="C4" s="5" t="s">
        <v>72</v>
      </c>
      <c r="D4" s="5" t="s">
        <v>73</v>
      </c>
      <c r="E4" s="9" t="n">
        <v>8</v>
      </c>
      <c r="F4" s="5" t="s">
        <v>74</v>
      </c>
      <c r="G4" s="5" t="s">
        <v>75</v>
      </c>
      <c r="H4" s="5" t="str">
        <f aca="false">_xlfn.TEXTJOIN(", ",TRUE(),IF(COUNTIFS(tl_sub,$A4,tl_sdg,1,tl_align,"Primary")&gt;0,"1",""),IF(COUNTIFS(tl_sub,$A4,tl_sdg,2,tl_align,"Primary")&gt;0,"2",""),IF(COUNTIFS(tl_sub,$A4,tl_sdg,3,tl_align,"Primary")&gt;0,"3",""),IF(COUNTIFS(tl_sub,$A4,tl_sdg,4,tl_align,"Primary")&gt;0,"4",""),IF(COUNTIFS(tl_sub,$A4,tl_sdg,5,tl_align,"Primary")&gt;0,"5",""),IF(COUNTIFS(tl_sub,$A4,tl_sdg,6,tl_align,"Primary")&gt;0,"6",""),IF(COUNTIFS(tl_sub,$A4,tl_sdg,7,tl_align,"Primary")&gt;0,"7",""),IF(COUNTIFS(tl_sub,$A4,tl_sdg,8,tl_align,"Primary")&gt;0,"8",""),IF(COUNTIFS(tl_sub,$A4,tl_sdg,9,tl_align,"Primary")&gt;0,"9",""),IF(COUNTIFS(tl_sub,$A4,tl_sdg,10,tl_align,"Primary")&gt;0,"10",""),IF(COUNTIFS(tl_sub,$A4,tl_sdg,11,tl_align,"Primary")&gt;0,"11",""),IF(COUNTIFS(tl_sub,$A4,tl_sdg,12,tl_align,"Primary")&gt;0,"12",""),IF(COUNTIFS(tl_sub,$A4,tl_sdg,13,tl_align,"Primary")&gt;0,"13",""),IF(COUNTIFS(tl_sub,$A4,tl_sdg,14,tl_align,"Primary")&gt;0,"14",""),IF(COUNTIFS(tl_sub,$A4,tl_sdg,15,tl_align,"Primary")&gt;0,"15",""),IF(COUNTIFS(tl_sub,$A4,tl_sdg,16,tl_align,"Primary")&gt;0,"16",""),IF(COUNTIFS(tl_sub,$A4,tl_sdg,17,tl_align,"Primary")&gt;0,"17",""))</f>
        <v>9, 13</v>
      </c>
      <c r="I4" s="5" t="str">
        <f aca="false">_xlfn.TEXTJOIN(", ",TRUE(),IF(COUNTIFS(tl_sub,$A4,tl_sdg,1,tl_align,"Secondary")&gt;0,"1",""),IF(COUNTIFS(tl_sub,$A4,tl_sdg,2,tl_align,"Secondary")&gt;0,"2",""),IF(COUNTIFS(tl_sub,$A4,tl_sdg,3,tl_align,"Secondary")&gt;0,"3",""),IF(COUNTIFS(tl_sub,$A4,tl_sdg,4,tl_align,"Secondary")&gt;0,"4",""),IF(COUNTIFS(tl_sub,$A4,tl_sdg,5,tl_align,"Secondary")&gt;0,"5",""),IF(COUNTIFS(tl_sub,$A4,tl_sdg,6,tl_align,"Secondary")&gt;0,"6",""),IF(COUNTIFS(tl_sub,$A4,tl_sdg,7,tl_align,"Secondary")&gt;0,"7",""),IF(COUNTIFS(tl_sub,$A4,tl_sdg,8,tl_align,"Secondary")&gt;0,"8",""),IF(COUNTIFS(tl_sub,$A4,tl_sdg,9,tl_align,"Secondary")&gt;0,"9",""),IF(COUNTIFS(tl_sub,$A4,tl_sdg,10,tl_align,"Secondary")&gt;0,"10",""),IF(COUNTIFS(tl_sub,$A4,tl_sdg,11,tl_align,"Secondary")&gt;0,"11",""),IF(COUNTIFS(tl_sub,$A4,tl_sdg,12,tl_align,"Secondary")&gt;0,"12",""),IF(COUNTIFS(tl_sub,$A4,tl_sdg,13,tl_align,"Secondary")&gt;0,"13",""),IF(COUNTIFS(tl_sub,$A4,tl_sdg,14,tl_align,"Secondary")&gt;0,"14",""),IF(COUNTIFS(tl_sub,$A4,tl_sdg,15,tl_align,"Secondary")&gt;0,"15",""),IF(COUNTIFS(tl_sub,$A4,tl_sdg,16,tl_align,"Secondary")&gt;0,"16",""),IF(COUNTIFS(tl_sub,$A4,tl_sdg,17,tl_align,"Secondary")&gt;0,"17",""))</f>
        <v>6, 7, 11, 12</v>
      </c>
      <c r="J4" s="11" t="s">
        <v>76</v>
      </c>
      <c r="K4" s="11" t="s">
        <v>77</v>
      </c>
      <c r="L4" s="9" t="n">
        <f aca="false">COUNTIF(tl_sub,A4)</f>
        <v>10</v>
      </c>
      <c r="M4" s="9" t="n">
        <f aca="false">COUNTIF(il_sub,A4)</f>
        <v>20</v>
      </c>
      <c r="N4" s="5" t="s">
        <v>78</v>
      </c>
      <c r="O4" s="5" t="s">
        <v>79</v>
      </c>
    </row>
    <row r="5" customFormat="false" ht="45.75" hidden="false" customHeight="true" outlineLevel="0" collapsed="false">
      <c r="A5" s="8" t="s">
        <v>80</v>
      </c>
      <c r="B5" s="11" t="s">
        <v>36</v>
      </c>
      <c r="C5" s="5" t="s">
        <v>81</v>
      </c>
      <c r="D5" s="5" t="s">
        <v>82</v>
      </c>
      <c r="E5" s="9" t="n">
        <v>8</v>
      </c>
      <c r="F5" s="5" t="s">
        <v>83</v>
      </c>
      <c r="G5" s="5" t="s">
        <v>84</v>
      </c>
      <c r="H5" s="5" t="str">
        <f aca="false">_xlfn.TEXTJOIN(", ",TRUE(),IF(COUNTIFS(tl_sub,$A5,tl_sdg,1,tl_align,"Primary")&gt;0,"1",""),IF(COUNTIFS(tl_sub,$A5,tl_sdg,2,tl_align,"Primary")&gt;0,"2",""),IF(COUNTIFS(tl_sub,$A5,tl_sdg,3,tl_align,"Primary")&gt;0,"3",""),IF(COUNTIFS(tl_sub,$A5,tl_sdg,4,tl_align,"Primary")&gt;0,"4",""),IF(COUNTIFS(tl_sub,$A5,tl_sdg,5,tl_align,"Primary")&gt;0,"5",""),IF(COUNTIFS(tl_sub,$A5,tl_sdg,6,tl_align,"Primary")&gt;0,"6",""),IF(COUNTIFS(tl_sub,$A5,tl_sdg,7,tl_align,"Primary")&gt;0,"7",""),IF(COUNTIFS(tl_sub,$A5,tl_sdg,8,tl_align,"Primary")&gt;0,"8",""),IF(COUNTIFS(tl_sub,$A5,tl_sdg,9,tl_align,"Primary")&gt;0,"9",""),IF(COUNTIFS(tl_sub,$A5,tl_sdg,10,tl_align,"Primary")&gt;0,"10",""),IF(COUNTIFS(tl_sub,$A5,tl_sdg,11,tl_align,"Primary")&gt;0,"11",""),IF(COUNTIFS(tl_sub,$A5,tl_sdg,12,tl_align,"Primary")&gt;0,"12",""),IF(COUNTIFS(tl_sub,$A5,tl_sdg,13,tl_align,"Primary")&gt;0,"13",""),IF(COUNTIFS(tl_sub,$A5,tl_sdg,14,tl_align,"Primary")&gt;0,"14",""),IF(COUNTIFS(tl_sub,$A5,tl_sdg,15,tl_align,"Primary")&gt;0,"15",""),IF(COUNTIFS(tl_sub,$A5,tl_sdg,16,tl_align,"Primary")&gt;0,"16",""),IF(COUNTIFS(tl_sub,$A5,tl_sdg,17,tl_align,"Primary")&gt;0,"17",""))</f>
        <v>11</v>
      </c>
      <c r="I5" s="5" t="str">
        <f aca="false">_xlfn.TEXTJOIN(", ",TRUE(),IF(COUNTIFS(tl_sub,$A5,tl_sdg,1,tl_align,"Secondary")&gt;0,"1",""),IF(COUNTIFS(tl_sub,$A5,tl_sdg,2,tl_align,"Secondary")&gt;0,"2",""),IF(COUNTIFS(tl_sub,$A5,tl_sdg,3,tl_align,"Secondary")&gt;0,"3",""),IF(COUNTIFS(tl_sub,$A5,tl_sdg,4,tl_align,"Secondary")&gt;0,"4",""),IF(COUNTIFS(tl_sub,$A5,tl_sdg,5,tl_align,"Secondary")&gt;0,"5",""),IF(COUNTIFS(tl_sub,$A5,tl_sdg,6,tl_align,"Secondary")&gt;0,"6",""),IF(COUNTIFS(tl_sub,$A5,tl_sdg,7,tl_align,"Secondary")&gt;0,"7",""),IF(COUNTIFS(tl_sub,$A5,tl_sdg,8,tl_align,"Secondary")&gt;0,"8",""),IF(COUNTIFS(tl_sub,$A5,tl_sdg,9,tl_align,"Secondary")&gt;0,"9",""),IF(COUNTIFS(tl_sub,$A5,tl_sdg,10,tl_align,"Secondary")&gt;0,"10",""),IF(COUNTIFS(tl_sub,$A5,tl_sdg,11,tl_align,"Secondary")&gt;0,"11",""),IF(COUNTIFS(tl_sub,$A5,tl_sdg,12,tl_align,"Secondary")&gt;0,"12",""),IF(COUNTIFS(tl_sub,$A5,tl_sdg,13,tl_align,"Secondary")&gt;0,"13",""),IF(COUNTIFS(tl_sub,$A5,tl_sdg,14,tl_align,"Secondary")&gt;0,"14",""),IF(COUNTIFS(tl_sub,$A5,tl_sdg,15,tl_align,"Secondary")&gt;0,"15",""),IF(COUNTIFS(tl_sub,$A5,tl_sdg,16,tl_align,"Secondary")&gt;0,"16",""),IF(COUNTIFS(tl_sub,$A5,tl_sdg,17,tl_align,"Secondary")&gt;0,"17",""))</f>
        <v>9, 13, 17</v>
      </c>
      <c r="J5" s="11" t="s">
        <v>85</v>
      </c>
      <c r="K5" s="11" t="s">
        <v>86</v>
      </c>
      <c r="L5" s="9" t="n">
        <f aca="false">COUNTIF(tl_sub,A5)</f>
        <v>7</v>
      </c>
      <c r="M5" s="9" t="n">
        <f aca="false">COUNTIF(il_sub,A5)</f>
        <v>10</v>
      </c>
      <c r="N5" s="5" t="s">
        <v>87</v>
      </c>
      <c r="O5" s="5" t="s">
        <v>88</v>
      </c>
    </row>
    <row r="6" customFormat="false" ht="45.75" hidden="false" customHeight="true" outlineLevel="0" collapsed="false">
      <c r="A6" s="8" t="s">
        <v>89</v>
      </c>
      <c r="B6" s="11" t="s">
        <v>36</v>
      </c>
      <c r="C6" s="5" t="s">
        <v>90</v>
      </c>
      <c r="D6" s="5" t="s">
        <v>91</v>
      </c>
      <c r="E6" s="9" t="n">
        <v>8</v>
      </c>
      <c r="F6" s="5" t="s">
        <v>92</v>
      </c>
      <c r="G6" s="5" t="s">
        <v>93</v>
      </c>
      <c r="H6" s="5" t="str">
        <f aca="false">_xlfn.TEXTJOIN(", ",TRUE(),IF(COUNTIFS(tl_sub,$A6,tl_sdg,1,tl_align,"Primary")&gt;0,"1",""),IF(COUNTIFS(tl_sub,$A6,tl_sdg,2,tl_align,"Primary")&gt;0,"2",""),IF(COUNTIFS(tl_sub,$A6,tl_sdg,3,tl_align,"Primary")&gt;0,"3",""),IF(COUNTIFS(tl_sub,$A6,tl_sdg,4,tl_align,"Primary")&gt;0,"4",""),IF(COUNTIFS(tl_sub,$A6,tl_sdg,5,tl_align,"Primary")&gt;0,"5",""),IF(COUNTIFS(tl_sub,$A6,tl_sdg,6,tl_align,"Primary")&gt;0,"6",""),IF(COUNTIFS(tl_sub,$A6,tl_sdg,7,tl_align,"Primary")&gt;0,"7",""),IF(COUNTIFS(tl_sub,$A6,tl_sdg,8,tl_align,"Primary")&gt;0,"8",""),IF(COUNTIFS(tl_sub,$A6,tl_sdg,9,tl_align,"Primary")&gt;0,"9",""),IF(COUNTIFS(tl_sub,$A6,tl_sdg,10,tl_align,"Primary")&gt;0,"10",""),IF(COUNTIFS(tl_sub,$A6,tl_sdg,11,tl_align,"Primary")&gt;0,"11",""),IF(COUNTIFS(tl_sub,$A6,tl_sdg,12,tl_align,"Primary")&gt;0,"12",""),IF(COUNTIFS(tl_sub,$A6,tl_sdg,13,tl_align,"Primary")&gt;0,"13",""),IF(COUNTIFS(tl_sub,$A6,tl_sdg,14,tl_align,"Primary")&gt;0,"14",""),IF(COUNTIFS(tl_sub,$A6,tl_sdg,15,tl_align,"Primary")&gt;0,"15",""),IF(COUNTIFS(tl_sub,$A6,tl_sdg,16,tl_align,"Primary")&gt;0,"16",""),IF(COUNTIFS(tl_sub,$A6,tl_sdg,17,tl_align,"Primary")&gt;0,"17",""))</f>
        <v>12</v>
      </c>
      <c r="I6" s="5" t="str">
        <f aca="false">_xlfn.TEXTJOIN(", ",TRUE(),IF(COUNTIFS(tl_sub,$A6,tl_sdg,1,tl_align,"Secondary")&gt;0,"1",""),IF(COUNTIFS(tl_sub,$A6,tl_sdg,2,tl_align,"Secondary")&gt;0,"2",""),IF(COUNTIFS(tl_sub,$A6,tl_sdg,3,tl_align,"Secondary")&gt;0,"3",""),IF(COUNTIFS(tl_sub,$A6,tl_sdg,4,tl_align,"Secondary")&gt;0,"4",""),IF(COUNTIFS(tl_sub,$A6,tl_sdg,5,tl_align,"Secondary")&gt;0,"5",""),IF(COUNTIFS(tl_sub,$A6,tl_sdg,6,tl_align,"Secondary")&gt;0,"6",""),IF(COUNTIFS(tl_sub,$A6,tl_sdg,7,tl_align,"Secondary")&gt;0,"7",""),IF(COUNTIFS(tl_sub,$A6,tl_sdg,8,tl_align,"Secondary")&gt;0,"8",""),IF(COUNTIFS(tl_sub,$A6,tl_sdg,9,tl_align,"Secondary")&gt;0,"9",""),IF(COUNTIFS(tl_sub,$A6,tl_sdg,10,tl_align,"Secondary")&gt;0,"10",""),IF(COUNTIFS(tl_sub,$A6,tl_sdg,11,tl_align,"Secondary")&gt;0,"11",""),IF(COUNTIFS(tl_sub,$A6,tl_sdg,12,tl_align,"Secondary")&gt;0,"12",""),IF(COUNTIFS(tl_sub,$A6,tl_sdg,13,tl_align,"Secondary")&gt;0,"13",""),IF(COUNTIFS(tl_sub,$A6,tl_sdg,14,tl_align,"Secondary")&gt;0,"14",""),IF(COUNTIFS(tl_sub,$A6,tl_sdg,15,tl_align,"Secondary")&gt;0,"15",""),IF(COUNTIFS(tl_sub,$A6,tl_sdg,16,tl_align,"Secondary")&gt;0,"16",""),IF(COUNTIFS(tl_sub,$A6,tl_sdg,17,tl_align,"Secondary")&gt;0,"17",""))</f>
        <v>8, 9, 11, 13</v>
      </c>
      <c r="J6" s="11" t="s">
        <v>94</v>
      </c>
      <c r="K6" s="11" t="s">
        <v>95</v>
      </c>
      <c r="L6" s="9" t="n">
        <f aca="false">COUNTIF(tl_sub,A6)</f>
        <v>6</v>
      </c>
      <c r="M6" s="9" t="n">
        <f aca="false">COUNTIF(il_sub,A6)</f>
        <v>9</v>
      </c>
      <c r="N6" s="5" t="s">
        <v>96</v>
      </c>
      <c r="O6" s="5" t="s">
        <v>97</v>
      </c>
    </row>
    <row r="7" customFormat="false" ht="90.75" hidden="false" customHeight="true" outlineLevel="0" collapsed="false">
      <c r="A7" s="8" t="s">
        <v>98</v>
      </c>
      <c r="B7" s="11" t="s">
        <v>39</v>
      </c>
      <c r="C7" s="5" t="s">
        <v>99</v>
      </c>
      <c r="D7" s="5" t="s">
        <v>100</v>
      </c>
      <c r="E7" s="9" t="n">
        <v>8</v>
      </c>
      <c r="F7" s="5" t="s">
        <v>101</v>
      </c>
      <c r="G7" s="5" t="s">
        <v>102</v>
      </c>
      <c r="H7" s="5" t="str">
        <f aca="false">_xlfn.TEXTJOIN(", ",TRUE(),IF(COUNTIFS(tl_sub,$A7,tl_sdg,1,tl_align,"Primary")&gt;0,"1",""),IF(COUNTIFS(tl_sub,$A7,tl_sdg,2,tl_align,"Primary")&gt;0,"2",""),IF(COUNTIFS(tl_sub,$A7,tl_sdg,3,tl_align,"Primary")&gt;0,"3",""),IF(COUNTIFS(tl_sub,$A7,tl_sdg,4,tl_align,"Primary")&gt;0,"4",""),IF(COUNTIFS(tl_sub,$A7,tl_sdg,5,tl_align,"Primary")&gt;0,"5",""),IF(COUNTIFS(tl_sub,$A7,tl_sdg,6,tl_align,"Primary")&gt;0,"6",""),IF(COUNTIFS(tl_sub,$A7,tl_sdg,7,tl_align,"Primary")&gt;0,"7",""),IF(COUNTIFS(tl_sub,$A7,tl_sdg,8,tl_align,"Primary")&gt;0,"8",""),IF(COUNTIFS(tl_sub,$A7,tl_sdg,9,tl_align,"Primary")&gt;0,"9",""),IF(COUNTIFS(tl_sub,$A7,tl_sdg,10,tl_align,"Primary")&gt;0,"10",""),IF(COUNTIFS(tl_sub,$A7,tl_sdg,11,tl_align,"Primary")&gt;0,"11",""),IF(COUNTIFS(tl_sub,$A7,tl_sdg,12,tl_align,"Primary")&gt;0,"12",""),IF(COUNTIFS(tl_sub,$A7,tl_sdg,13,tl_align,"Primary")&gt;0,"13",""),IF(COUNTIFS(tl_sub,$A7,tl_sdg,14,tl_align,"Primary")&gt;0,"14",""),IF(COUNTIFS(tl_sub,$A7,tl_sdg,15,tl_align,"Primary")&gt;0,"15",""),IF(COUNTIFS(tl_sub,$A7,tl_sdg,16,tl_align,"Primary")&gt;0,"16",""),IF(COUNTIFS(tl_sub,$A7,tl_sdg,17,tl_align,"Primary")&gt;0,"17",""))</f>
        <v>11</v>
      </c>
      <c r="I7" s="5" t="str">
        <f aca="false">_xlfn.TEXTJOIN(", ",TRUE(),IF(COUNTIFS(tl_sub,$A7,tl_sdg,1,tl_align,"Secondary")&gt;0,"1",""),IF(COUNTIFS(tl_sub,$A7,tl_sdg,2,tl_align,"Secondary")&gt;0,"2",""),IF(COUNTIFS(tl_sub,$A7,tl_sdg,3,tl_align,"Secondary")&gt;0,"3",""),IF(COUNTIFS(tl_sub,$A7,tl_sdg,4,tl_align,"Secondary")&gt;0,"4",""),IF(COUNTIFS(tl_sub,$A7,tl_sdg,5,tl_align,"Secondary")&gt;0,"5",""),IF(COUNTIFS(tl_sub,$A7,tl_sdg,6,tl_align,"Secondary")&gt;0,"6",""),IF(COUNTIFS(tl_sub,$A7,tl_sdg,7,tl_align,"Secondary")&gt;0,"7",""),IF(COUNTIFS(tl_sub,$A7,tl_sdg,8,tl_align,"Secondary")&gt;0,"8",""),IF(COUNTIFS(tl_sub,$A7,tl_sdg,9,tl_align,"Secondary")&gt;0,"9",""),IF(COUNTIFS(tl_sub,$A7,tl_sdg,10,tl_align,"Secondary")&gt;0,"10",""),IF(COUNTIFS(tl_sub,$A7,tl_sdg,11,tl_align,"Secondary")&gt;0,"11",""),IF(COUNTIFS(tl_sub,$A7,tl_sdg,12,tl_align,"Secondary")&gt;0,"12",""),IF(COUNTIFS(tl_sub,$A7,tl_sdg,13,tl_align,"Secondary")&gt;0,"13",""),IF(COUNTIFS(tl_sub,$A7,tl_sdg,14,tl_align,"Secondary")&gt;0,"14",""),IF(COUNTIFS(tl_sub,$A7,tl_sdg,15,tl_align,"Secondary")&gt;0,"15",""),IF(COUNTIFS(tl_sub,$A7,tl_sdg,16,tl_align,"Secondary")&gt;0,"16",""),IF(COUNTIFS(tl_sub,$A7,tl_sdg,17,tl_align,"Secondary")&gt;0,"17",""))</f>
        <v>4, 9, 10</v>
      </c>
      <c r="J7" s="11" t="s">
        <v>103</v>
      </c>
      <c r="K7" s="11" t="s">
        <v>104</v>
      </c>
      <c r="L7" s="9" t="n">
        <f aca="false">COUNTIF(tl_sub,A7)</f>
        <v>7</v>
      </c>
      <c r="M7" s="9" t="n">
        <f aca="false">COUNTIF(il_sub,A7)</f>
        <v>9</v>
      </c>
      <c r="N7" s="5" t="s">
        <v>105</v>
      </c>
      <c r="O7" s="5" t="s">
        <v>106</v>
      </c>
    </row>
    <row r="8" customFormat="false" ht="34.5" hidden="false" customHeight="true" outlineLevel="0" collapsed="false">
      <c r="A8" s="8" t="s">
        <v>107</v>
      </c>
      <c r="B8" s="11" t="s">
        <v>39</v>
      </c>
      <c r="C8" s="5" t="s">
        <v>108</v>
      </c>
      <c r="D8" s="5" t="s">
        <v>109</v>
      </c>
      <c r="E8" s="9" t="n">
        <v>8</v>
      </c>
      <c r="F8" s="5" t="s">
        <v>110</v>
      </c>
      <c r="G8" s="5" t="s">
        <v>111</v>
      </c>
      <c r="H8" s="5" t="str">
        <f aca="false">_xlfn.TEXTJOIN(", ",TRUE(),IF(COUNTIFS(tl_sub,$A8,tl_sdg,1,tl_align,"Primary")&gt;0,"1",""),IF(COUNTIFS(tl_sub,$A8,tl_sdg,2,tl_align,"Primary")&gt;0,"2",""),IF(COUNTIFS(tl_sub,$A8,tl_sdg,3,tl_align,"Primary")&gt;0,"3",""),IF(COUNTIFS(tl_sub,$A8,tl_sdg,4,tl_align,"Primary")&gt;0,"4",""),IF(COUNTIFS(tl_sub,$A8,tl_sdg,5,tl_align,"Primary")&gt;0,"5",""),IF(COUNTIFS(tl_sub,$A8,tl_sdg,6,tl_align,"Primary")&gt;0,"6",""),IF(COUNTIFS(tl_sub,$A8,tl_sdg,7,tl_align,"Primary")&gt;0,"7",""),IF(COUNTIFS(tl_sub,$A8,tl_sdg,8,tl_align,"Primary")&gt;0,"8",""),IF(COUNTIFS(tl_sub,$A8,tl_sdg,9,tl_align,"Primary")&gt;0,"9",""),IF(COUNTIFS(tl_sub,$A8,tl_sdg,10,tl_align,"Primary")&gt;0,"10",""),IF(COUNTIFS(tl_sub,$A8,tl_sdg,11,tl_align,"Primary")&gt;0,"11",""),IF(COUNTIFS(tl_sub,$A8,tl_sdg,12,tl_align,"Primary")&gt;0,"12",""),IF(COUNTIFS(tl_sub,$A8,tl_sdg,13,tl_align,"Primary")&gt;0,"13",""),IF(COUNTIFS(tl_sub,$A8,tl_sdg,14,tl_align,"Primary")&gt;0,"14",""),IF(COUNTIFS(tl_sub,$A8,tl_sdg,15,tl_align,"Primary")&gt;0,"15",""),IF(COUNTIFS(tl_sub,$A8,tl_sdg,16,tl_align,"Primary")&gt;0,"16",""),IF(COUNTIFS(tl_sub,$A8,tl_sdg,17,tl_align,"Primary")&gt;0,"17",""))</f>
        <v>10, 11</v>
      </c>
      <c r="I8" s="5" t="str">
        <f aca="false">_xlfn.TEXTJOIN(", ",TRUE(),IF(COUNTIFS(tl_sub,$A8,tl_sdg,1,tl_align,"Secondary")&gt;0,"1",""),IF(COUNTIFS(tl_sub,$A8,tl_sdg,2,tl_align,"Secondary")&gt;0,"2",""),IF(COUNTIFS(tl_sub,$A8,tl_sdg,3,tl_align,"Secondary")&gt;0,"3",""),IF(COUNTIFS(tl_sub,$A8,tl_sdg,4,tl_align,"Secondary")&gt;0,"4",""),IF(COUNTIFS(tl_sub,$A8,tl_sdg,5,tl_align,"Secondary")&gt;0,"5",""),IF(COUNTIFS(tl_sub,$A8,tl_sdg,6,tl_align,"Secondary")&gt;0,"6",""),IF(COUNTIFS(tl_sub,$A8,tl_sdg,7,tl_align,"Secondary")&gt;0,"7",""),IF(COUNTIFS(tl_sub,$A8,tl_sdg,8,tl_align,"Secondary")&gt;0,"8",""),IF(COUNTIFS(tl_sub,$A8,tl_sdg,9,tl_align,"Secondary")&gt;0,"9",""),IF(COUNTIFS(tl_sub,$A8,tl_sdg,10,tl_align,"Secondary")&gt;0,"10",""),IF(COUNTIFS(tl_sub,$A8,tl_sdg,11,tl_align,"Secondary")&gt;0,"11",""),IF(COUNTIFS(tl_sub,$A8,tl_sdg,12,tl_align,"Secondary")&gt;0,"12",""),IF(COUNTIFS(tl_sub,$A8,tl_sdg,13,tl_align,"Secondary")&gt;0,"13",""),IF(COUNTIFS(tl_sub,$A8,tl_sdg,14,tl_align,"Secondary")&gt;0,"14",""),IF(COUNTIFS(tl_sub,$A8,tl_sdg,15,tl_align,"Secondary")&gt;0,"15",""),IF(COUNTIFS(tl_sub,$A8,tl_sdg,16,tl_align,"Secondary")&gt;0,"16",""),IF(COUNTIFS(tl_sub,$A8,tl_sdg,17,tl_align,"Secondary")&gt;0,"17",""))</f>
        <v>1, 9, 16</v>
      </c>
      <c r="J8" s="11" t="s">
        <v>112</v>
      </c>
      <c r="K8" s="11" t="s">
        <v>113</v>
      </c>
      <c r="L8" s="9" t="n">
        <f aca="false">COUNTIF(tl_sub,A8)</f>
        <v>5</v>
      </c>
      <c r="M8" s="9" t="n">
        <f aca="false">COUNTIF(il_sub,A8)</f>
        <v>9</v>
      </c>
      <c r="N8" s="5" t="s">
        <v>114</v>
      </c>
      <c r="O8" s="5" t="s">
        <v>115</v>
      </c>
    </row>
    <row r="9" customFormat="false" ht="45.75" hidden="false" customHeight="true" outlineLevel="0" collapsed="false">
      <c r="A9" s="8" t="s">
        <v>116</v>
      </c>
      <c r="B9" s="11" t="s">
        <v>39</v>
      </c>
      <c r="C9" s="5" t="s">
        <v>117</v>
      </c>
      <c r="D9" s="5" t="s">
        <v>118</v>
      </c>
      <c r="E9" s="9" t="n">
        <v>16</v>
      </c>
      <c r="F9" s="5" t="s">
        <v>119</v>
      </c>
      <c r="G9" s="5" t="s">
        <v>120</v>
      </c>
      <c r="H9" s="5" t="str">
        <f aca="false">_xlfn.TEXTJOIN(", ",TRUE(),IF(COUNTIFS(tl_sub,$A9,tl_sdg,1,tl_align,"Primary")&gt;0,"1",""),IF(COUNTIFS(tl_sub,$A9,tl_sdg,2,tl_align,"Primary")&gt;0,"2",""),IF(COUNTIFS(tl_sub,$A9,tl_sdg,3,tl_align,"Primary")&gt;0,"3",""),IF(COUNTIFS(tl_sub,$A9,tl_sdg,4,tl_align,"Primary")&gt;0,"4",""),IF(COUNTIFS(tl_sub,$A9,tl_sdg,5,tl_align,"Primary")&gt;0,"5",""),IF(COUNTIFS(tl_sub,$A9,tl_sdg,6,tl_align,"Primary")&gt;0,"6",""),IF(COUNTIFS(tl_sub,$A9,tl_sdg,7,tl_align,"Primary")&gt;0,"7",""),IF(COUNTIFS(tl_sub,$A9,tl_sdg,8,tl_align,"Primary")&gt;0,"8",""),IF(COUNTIFS(tl_sub,$A9,tl_sdg,9,tl_align,"Primary")&gt;0,"9",""),IF(COUNTIFS(tl_sub,$A9,tl_sdg,10,tl_align,"Primary")&gt;0,"10",""),IF(COUNTIFS(tl_sub,$A9,tl_sdg,11,tl_align,"Primary")&gt;0,"11",""),IF(COUNTIFS(tl_sub,$A9,tl_sdg,12,tl_align,"Primary")&gt;0,"12",""),IF(COUNTIFS(tl_sub,$A9,tl_sdg,13,tl_align,"Primary")&gt;0,"13",""),IF(COUNTIFS(tl_sub,$A9,tl_sdg,14,tl_align,"Primary")&gt;0,"14",""),IF(COUNTIFS(tl_sub,$A9,tl_sdg,15,tl_align,"Primary")&gt;0,"15",""),IF(COUNTIFS(tl_sub,$A9,tl_sdg,16,tl_align,"Primary")&gt;0,"16",""),IF(COUNTIFS(tl_sub,$A9,tl_sdg,17,tl_align,"Primary")&gt;0,"17",""))</f>
        <v>17</v>
      </c>
      <c r="I9" s="5" t="str">
        <f aca="false">_xlfn.TEXTJOIN(", ",TRUE(),IF(COUNTIFS(tl_sub,$A9,tl_sdg,1,tl_align,"Secondary")&gt;0,"1",""),IF(COUNTIFS(tl_sub,$A9,tl_sdg,2,tl_align,"Secondary")&gt;0,"2",""),IF(COUNTIFS(tl_sub,$A9,tl_sdg,3,tl_align,"Secondary")&gt;0,"3",""),IF(COUNTIFS(tl_sub,$A9,tl_sdg,4,tl_align,"Secondary")&gt;0,"4",""),IF(COUNTIFS(tl_sub,$A9,tl_sdg,5,tl_align,"Secondary")&gt;0,"5",""),IF(COUNTIFS(tl_sub,$A9,tl_sdg,6,tl_align,"Secondary")&gt;0,"6",""),IF(COUNTIFS(tl_sub,$A9,tl_sdg,7,tl_align,"Secondary")&gt;0,"7",""),IF(COUNTIFS(tl_sub,$A9,tl_sdg,8,tl_align,"Secondary")&gt;0,"8",""),IF(COUNTIFS(tl_sub,$A9,tl_sdg,9,tl_align,"Secondary")&gt;0,"9",""),IF(COUNTIFS(tl_sub,$A9,tl_sdg,10,tl_align,"Secondary")&gt;0,"10",""),IF(COUNTIFS(tl_sub,$A9,tl_sdg,11,tl_align,"Secondary")&gt;0,"11",""),IF(COUNTIFS(tl_sub,$A9,tl_sdg,12,tl_align,"Secondary")&gt;0,"12",""),IF(COUNTIFS(tl_sub,$A9,tl_sdg,13,tl_align,"Secondary")&gt;0,"13",""),IF(COUNTIFS(tl_sub,$A9,tl_sdg,14,tl_align,"Secondary")&gt;0,"14",""),IF(COUNTIFS(tl_sub,$A9,tl_sdg,15,tl_align,"Secondary")&gt;0,"15",""),IF(COUNTIFS(tl_sub,$A9,tl_sdg,16,tl_align,"Secondary")&gt;0,"16",""),IF(COUNTIFS(tl_sub,$A9,tl_sdg,17,tl_align,"Secondary")&gt;0,"17",""))</f>
        <v>8, 10, 12, 16</v>
      </c>
      <c r="J9" s="11" t="s">
        <v>121</v>
      </c>
      <c r="K9" s="11" t="s">
        <v>122</v>
      </c>
      <c r="L9" s="9" t="n">
        <f aca="false">COUNTIF(tl_sub,A9)</f>
        <v>8</v>
      </c>
      <c r="M9" s="9" t="n">
        <f aca="false">COUNTIF(il_sub,A9)</f>
        <v>11</v>
      </c>
      <c r="N9" s="5" t="s">
        <v>123</v>
      </c>
      <c r="O9" s="5" t="s">
        <v>124</v>
      </c>
    </row>
    <row r="10" customFormat="false" ht="45.75" hidden="false" customHeight="true" outlineLevel="0" collapsed="false">
      <c r="A10" s="8" t="s">
        <v>125</v>
      </c>
      <c r="B10" s="11" t="s">
        <v>42</v>
      </c>
      <c r="C10" s="5" t="s">
        <v>126</v>
      </c>
      <c r="D10" s="5" t="s">
        <v>127</v>
      </c>
      <c r="E10" s="9" t="n">
        <v>20</v>
      </c>
      <c r="F10" s="5" t="s">
        <v>128</v>
      </c>
      <c r="G10" s="5" t="s">
        <v>129</v>
      </c>
      <c r="H10" s="5" t="str">
        <f aca="false">_xlfn.TEXTJOIN(", ",TRUE(),IF(COUNTIFS(tl_sub,$A10,tl_sdg,1,tl_align,"Primary")&gt;0,"1",""),IF(COUNTIFS(tl_sub,$A10,tl_sdg,2,tl_align,"Primary")&gt;0,"2",""),IF(COUNTIFS(tl_sub,$A10,tl_sdg,3,tl_align,"Primary")&gt;0,"3",""),IF(COUNTIFS(tl_sub,$A10,tl_sdg,4,tl_align,"Primary")&gt;0,"4",""),IF(COUNTIFS(tl_sub,$A10,tl_sdg,5,tl_align,"Primary")&gt;0,"5",""),IF(COUNTIFS(tl_sub,$A10,tl_sdg,6,tl_align,"Primary")&gt;0,"6",""),IF(COUNTIFS(tl_sub,$A10,tl_sdg,7,tl_align,"Primary")&gt;0,"7",""),IF(COUNTIFS(tl_sub,$A10,tl_sdg,8,tl_align,"Primary")&gt;0,"8",""),IF(COUNTIFS(tl_sub,$A10,tl_sdg,9,tl_align,"Primary")&gt;0,"9",""),IF(COUNTIFS(tl_sub,$A10,tl_sdg,10,tl_align,"Primary")&gt;0,"10",""),IF(COUNTIFS(tl_sub,$A10,tl_sdg,11,tl_align,"Primary")&gt;0,"11",""),IF(COUNTIFS(tl_sub,$A10,tl_sdg,12,tl_align,"Primary")&gt;0,"12",""),IF(COUNTIFS(tl_sub,$A10,tl_sdg,13,tl_align,"Primary")&gt;0,"13",""),IF(COUNTIFS(tl_sub,$A10,tl_sdg,14,tl_align,"Primary")&gt;0,"14",""),IF(COUNTIFS(tl_sub,$A10,tl_sdg,15,tl_align,"Primary")&gt;0,"15",""),IF(COUNTIFS(tl_sub,$A10,tl_sdg,16,tl_align,"Primary")&gt;0,"16",""),IF(COUNTIFS(tl_sub,$A10,tl_sdg,17,tl_align,"Primary")&gt;0,"17",""))</f>
        <v>16</v>
      </c>
      <c r="I10" s="5" t="str">
        <f aca="false">_xlfn.TEXTJOIN(", ",TRUE(),IF(COUNTIFS(tl_sub,$A10,tl_sdg,1,tl_align,"Secondary")&gt;0,"1",""),IF(COUNTIFS(tl_sub,$A10,tl_sdg,2,tl_align,"Secondary")&gt;0,"2",""),IF(COUNTIFS(tl_sub,$A10,tl_sdg,3,tl_align,"Secondary")&gt;0,"3",""),IF(COUNTIFS(tl_sub,$A10,tl_sdg,4,tl_align,"Secondary")&gt;0,"4",""),IF(COUNTIFS(tl_sub,$A10,tl_sdg,5,tl_align,"Secondary")&gt;0,"5",""),IF(COUNTIFS(tl_sub,$A10,tl_sdg,6,tl_align,"Secondary")&gt;0,"6",""),IF(COUNTIFS(tl_sub,$A10,tl_sdg,7,tl_align,"Secondary")&gt;0,"7",""),IF(COUNTIFS(tl_sub,$A10,tl_sdg,8,tl_align,"Secondary")&gt;0,"8",""),IF(COUNTIFS(tl_sub,$A10,tl_sdg,9,tl_align,"Secondary")&gt;0,"9",""),IF(COUNTIFS(tl_sub,$A10,tl_sdg,10,tl_align,"Secondary")&gt;0,"10",""),IF(COUNTIFS(tl_sub,$A10,tl_sdg,11,tl_align,"Secondary")&gt;0,"11",""),IF(COUNTIFS(tl_sub,$A10,tl_sdg,12,tl_align,"Secondary")&gt;0,"12",""),IF(COUNTIFS(tl_sub,$A10,tl_sdg,13,tl_align,"Secondary")&gt;0,"13",""),IF(COUNTIFS(tl_sub,$A10,tl_sdg,14,tl_align,"Secondary")&gt;0,"14",""),IF(COUNTIFS(tl_sub,$A10,tl_sdg,15,tl_align,"Secondary")&gt;0,"15",""),IF(COUNTIFS(tl_sub,$A10,tl_sdg,16,tl_align,"Secondary")&gt;0,"16",""),IF(COUNTIFS(tl_sub,$A10,tl_sdg,17,tl_align,"Secondary")&gt;0,"17",""))</f>
        <v>17</v>
      </c>
      <c r="J10" s="11" t="s">
        <v>130</v>
      </c>
      <c r="K10" s="11" t="s">
        <v>131</v>
      </c>
      <c r="L10" s="9" t="n">
        <f aca="false">COUNTIF(tl_sub,A10)</f>
        <v>5</v>
      </c>
      <c r="M10" s="9" t="n">
        <f aca="false">COUNTIF(il_sub,A10)</f>
        <v>8</v>
      </c>
      <c r="N10" s="5" t="s">
        <v>132</v>
      </c>
      <c r="O10" s="5" t="s">
        <v>133</v>
      </c>
    </row>
    <row r="11" customFormat="false" ht="57" hidden="false" customHeight="true" outlineLevel="0" collapsed="false">
      <c r="A11" s="8" t="s">
        <v>134</v>
      </c>
      <c r="B11" s="11" t="s">
        <v>42</v>
      </c>
      <c r="C11" s="5" t="s">
        <v>135</v>
      </c>
      <c r="D11" s="5" t="s">
        <v>136</v>
      </c>
      <c r="E11" s="9" t="n">
        <v>8</v>
      </c>
      <c r="F11" s="5" t="s">
        <v>137</v>
      </c>
      <c r="G11" s="5" t="s">
        <v>138</v>
      </c>
      <c r="H11" s="5" t="str">
        <f aca="false">_xlfn.TEXTJOIN(", ",TRUE(),IF(COUNTIFS(tl_sub,$A11,tl_sdg,1,tl_align,"Primary")&gt;0,"1",""),IF(COUNTIFS(tl_sub,$A11,tl_sdg,2,tl_align,"Primary")&gt;0,"2",""),IF(COUNTIFS(tl_sub,$A11,tl_sdg,3,tl_align,"Primary")&gt;0,"3",""),IF(COUNTIFS(tl_sub,$A11,tl_sdg,4,tl_align,"Primary")&gt;0,"4",""),IF(COUNTIFS(tl_sub,$A11,tl_sdg,5,tl_align,"Primary")&gt;0,"5",""),IF(COUNTIFS(tl_sub,$A11,tl_sdg,6,tl_align,"Primary")&gt;0,"6",""),IF(COUNTIFS(tl_sub,$A11,tl_sdg,7,tl_align,"Primary")&gt;0,"7",""),IF(COUNTIFS(tl_sub,$A11,tl_sdg,8,tl_align,"Primary")&gt;0,"8",""),IF(COUNTIFS(tl_sub,$A11,tl_sdg,9,tl_align,"Primary")&gt;0,"9",""),IF(COUNTIFS(tl_sub,$A11,tl_sdg,10,tl_align,"Primary")&gt;0,"10",""),IF(COUNTIFS(tl_sub,$A11,tl_sdg,11,tl_align,"Primary")&gt;0,"11",""),IF(COUNTIFS(tl_sub,$A11,tl_sdg,12,tl_align,"Primary")&gt;0,"12",""),IF(COUNTIFS(tl_sub,$A11,tl_sdg,13,tl_align,"Primary")&gt;0,"13",""),IF(COUNTIFS(tl_sub,$A11,tl_sdg,14,tl_align,"Primary")&gt;0,"14",""),IF(COUNTIFS(tl_sub,$A11,tl_sdg,15,tl_align,"Primary")&gt;0,"15",""),IF(COUNTIFS(tl_sub,$A11,tl_sdg,16,tl_align,"Primary")&gt;0,"16",""),IF(COUNTIFS(tl_sub,$A11,tl_sdg,17,tl_align,"Primary")&gt;0,"17",""))</f>
        <v>16</v>
      </c>
      <c r="I11" s="5" t="str">
        <f aca="false">_xlfn.TEXTJOIN(", ",TRUE(),IF(COUNTIFS(tl_sub,$A11,tl_sdg,1,tl_align,"Secondary")&gt;0,"1",""),IF(COUNTIFS(tl_sub,$A11,tl_sdg,2,tl_align,"Secondary")&gt;0,"2",""),IF(COUNTIFS(tl_sub,$A11,tl_sdg,3,tl_align,"Secondary")&gt;0,"3",""),IF(COUNTIFS(tl_sub,$A11,tl_sdg,4,tl_align,"Secondary")&gt;0,"4",""),IF(COUNTIFS(tl_sub,$A11,tl_sdg,5,tl_align,"Secondary")&gt;0,"5",""),IF(COUNTIFS(tl_sub,$A11,tl_sdg,6,tl_align,"Secondary")&gt;0,"6",""),IF(COUNTIFS(tl_sub,$A11,tl_sdg,7,tl_align,"Secondary")&gt;0,"7",""),IF(COUNTIFS(tl_sub,$A11,tl_sdg,8,tl_align,"Secondary")&gt;0,"8",""),IF(COUNTIFS(tl_sub,$A11,tl_sdg,9,tl_align,"Secondary")&gt;0,"9",""),IF(COUNTIFS(tl_sub,$A11,tl_sdg,10,tl_align,"Secondary")&gt;0,"10",""),IF(COUNTIFS(tl_sub,$A11,tl_sdg,11,tl_align,"Secondary")&gt;0,"11",""),IF(COUNTIFS(tl_sub,$A11,tl_sdg,12,tl_align,"Secondary")&gt;0,"12",""),IF(COUNTIFS(tl_sub,$A11,tl_sdg,13,tl_align,"Secondary")&gt;0,"13",""),IF(COUNTIFS(tl_sub,$A11,tl_sdg,14,tl_align,"Secondary")&gt;0,"14",""),IF(COUNTIFS(tl_sub,$A11,tl_sdg,15,tl_align,"Secondary")&gt;0,"15",""),IF(COUNTIFS(tl_sub,$A11,tl_sdg,16,tl_align,"Secondary")&gt;0,"16",""),IF(COUNTIFS(tl_sub,$A11,tl_sdg,17,tl_align,"Secondary")&gt;0,"17",""))</f>
        <v>8, 10, 11, 17</v>
      </c>
      <c r="J11" s="11" t="s">
        <v>139</v>
      </c>
      <c r="K11" s="11" t="s">
        <v>140</v>
      </c>
      <c r="L11" s="9" t="n">
        <f aca="false">COUNTIF(tl_sub,A11)</f>
        <v>6</v>
      </c>
      <c r="M11" s="9" t="n">
        <f aca="false">COUNTIF(il_sub,A11)</f>
        <v>8</v>
      </c>
      <c r="N11" s="5" t="s">
        <v>141</v>
      </c>
      <c r="O11" s="5" t="s">
        <v>142</v>
      </c>
    </row>
    <row r="12" customFormat="false" ht="15" hidden="false" customHeight="true" outlineLevel="0" collapsed="false">
      <c r="D12" s="4" t="s">
        <v>45</v>
      </c>
      <c r="E12" s="10" t="n">
        <f aca="false">SUM(E2:E11)</f>
        <v>100</v>
      </c>
      <c r="L12" s="10" t="n">
        <f aca="false">SUM(L2:L11)</f>
        <v>66</v>
      </c>
      <c r="M12" s="10" t="n">
        <f aca="false">SUM(M2:M11)</f>
        <v>103</v>
      </c>
    </row>
  </sheetData>
  <autoFilter ref="A1:O1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9"/>
    <col collapsed="false" customWidth="true" hidden="false" outlineLevel="0" max="3" min="3" style="1" width="11"/>
    <col collapsed="false" customWidth="true" hidden="false" outlineLevel="0" max="4" min="4" style="1" width="6"/>
    <col collapsed="false" customWidth="true" hidden="false" outlineLevel="0" max="5" min="5" style="1" width="24"/>
    <col collapsed="false" customWidth="true" hidden="false" outlineLevel="0" max="6" min="6" style="1" width="8"/>
    <col collapsed="false" customWidth="true" hidden="false" outlineLevel="0" max="7" min="7" style="1" width="30"/>
    <col collapsed="false" customWidth="true" hidden="false" outlineLevel="0" max="8" min="8" style="1" width="70"/>
    <col collapsed="false" customWidth="true" hidden="false" outlineLevel="0" max="9" min="9" style="1" width="11"/>
    <col collapsed="false" customWidth="true" hidden="false" outlineLevel="0" max="10" min="10" style="1" width="30"/>
    <col collapsed="false" customWidth="true" hidden="false" outlineLevel="0" max="11" min="11" style="1" width="10"/>
  </cols>
  <sheetData>
    <row r="1" customFormat="false" ht="30" hidden="false" customHeight="true" outlineLevel="0" collapsed="false">
      <c r="A1" s="6" t="s">
        <v>143</v>
      </c>
      <c r="B1" s="6" t="s">
        <v>24</v>
      </c>
      <c r="C1" s="6" t="s">
        <v>46</v>
      </c>
      <c r="D1" s="7" t="s">
        <v>144</v>
      </c>
      <c r="E1" s="6" t="s">
        <v>145</v>
      </c>
      <c r="F1" s="7" t="s">
        <v>146</v>
      </c>
      <c r="G1" s="6" t="s">
        <v>147</v>
      </c>
      <c r="H1" s="6" t="s">
        <v>148</v>
      </c>
      <c r="I1" s="7" t="s">
        <v>149</v>
      </c>
      <c r="J1" s="6" t="s">
        <v>150</v>
      </c>
      <c r="K1" s="7" t="s">
        <v>151</v>
      </c>
    </row>
    <row r="2" customFormat="false" ht="34.5" hidden="false" customHeight="true" outlineLevel="0" collapsed="false">
      <c r="A2" s="8" t="s">
        <v>152</v>
      </c>
      <c r="B2" s="11" t="s">
        <v>33</v>
      </c>
      <c r="C2" s="11" t="s">
        <v>53</v>
      </c>
      <c r="D2" s="12" t="n">
        <v>9</v>
      </c>
      <c r="E2" s="5" t="s">
        <v>153</v>
      </c>
      <c r="F2" s="13" t="s">
        <v>154</v>
      </c>
      <c r="G2" s="5" t="s">
        <v>155</v>
      </c>
      <c r="H2" s="5" t="s">
        <v>156</v>
      </c>
      <c r="I2" s="14" t="s">
        <v>157</v>
      </c>
      <c r="J2" s="5"/>
      <c r="K2" s="9" t="n">
        <f aca="false">COUNTIF('Indicator links'!$A$2:$A$500,A2)</f>
        <v>2</v>
      </c>
    </row>
    <row r="3" customFormat="false" ht="45.75" hidden="false" customHeight="true" outlineLevel="0" collapsed="false">
      <c r="A3" s="8" t="s">
        <v>158</v>
      </c>
      <c r="B3" s="11" t="s">
        <v>33</v>
      </c>
      <c r="C3" s="11" t="s">
        <v>53</v>
      </c>
      <c r="D3" s="12" t="n">
        <v>9</v>
      </c>
      <c r="E3" s="5" t="s">
        <v>153</v>
      </c>
      <c r="F3" s="13" t="s">
        <v>159</v>
      </c>
      <c r="G3" s="5" t="s">
        <v>160</v>
      </c>
      <c r="H3" s="5" t="s">
        <v>161</v>
      </c>
      <c r="I3" s="14" t="s">
        <v>157</v>
      </c>
      <c r="J3" s="5"/>
      <c r="K3" s="9" t="n">
        <f aca="false">COUNTIF('Indicator links'!$A$2:$A$500,A3)</f>
        <v>1</v>
      </c>
    </row>
    <row r="4" customFormat="false" ht="57" hidden="false" customHeight="true" outlineLevel="0" collapsed="false">
      <c r="A4" s="8" t="s">
        <v>162</v>
      </c>
      <c r="B4" s="11" t="s">
        <v>33</v>
      </c>
      <c r="C4" s="11" t="s">
        <v>53</v>
      </c>
      <c r="D4" s="12" t="n">
        <v>9</v>
      </c>
      <c r="E4" s="5" t="s">
        <v>153</v>
      </c>
      <c r="F4" s="13" t="s">
        <v>163</v>
      </c>
      <c r="G4" s="5" t="s">
        <v>164</v>
      </c>
      <c r="H4" s="5" t="s">
        <v>165</v>
      </c>
      <c r="I4" s="14" t="s">
        <v>157</v>
      </c>
      <c r="J4" s="5"/>
      <c r="K4" s="9" t="n">
        <f aca="false">COUNTIF('Indicator links'!$A$2:$A$500,A4)</f>
        <v>2</v>
      </c>
    </row>
    <row r="5" customFormat="false" ht="34.5" hidden="false" customHeight="true" outlineLevel="0" collapsed="false">
      <c r="A5" s="8" t="s">
        <v>166</v>
      </c>
      <c r="B5" s="11" t="s">
        <v>33</v>
      </c>
      <c r="C5" s="11" t="s">
        <v>53</v>
      </c>
      <c r="D5" s="15" t="n">
        <v>8</v>
      </c>
      <c r="E5" s="5" t="s">
        <v>167</v>
      </c>
      <c r="F5" s="13" t="s">
        <v>168</v>
      </c>
      <c r="G5" s="5" t="s">
        <v>169</v>
      </c>
      <c r="H5" s="5" t="s">
        <v>170</v>
      </c>
      <c r="I5" s="14" t="s">
        <v>171</v>
      </c>
      <c r="J5" s="5" t="s">
        <v>172</v>
      </c>
      <c r="K5" s="9" t="n">
        <f aca="false">COUNTIF('Indicator links'!$A$2:$A$500,A5)</f>
        <v>1</v>
      </c>
    </row>
    <row r="6" customFormat="false" ht="34.5" hidden="false" customHeight="true" outlineLevel="0" collapsed="false">
      <c r="A6" s="8" t="s">
        <v>173</v>
      </c>
      <c r="B6" s="11" t="s">
        <v>33</v>
      </c>
      <c r="C6" s="11" t="s">
        <v>53</v>
      </c>
      <c r="D6" s="16" t="n">
        <v>11</v>
      </c>
      <c r="E6" s="5" t="s">
        <v>174</v>
      </c>
      <c r="F6" s="13" t="s">
        <v>175</v>
      </c>
      <c r="G6" s="5" t="s">
        <v>176</v>
      </c>
      <c r="H6" s="5" t="s">
        <v>177</v>
      </c>
      <c r="I6" s="14" t="s">
        <v>171</v>
      </c>
      <c r="J6" s="5" t="s">
        <v>178</v>
      </c>
      <c r="K6" s="9" t="n">
        <f aca="false">COUNTIF('Indicator links'!$A$2:$A$500,A6)</f>
        <v>2</v>
      </c>
    </row>
    <row r="7" customFormat="false" ht="23.25" hidden="false" customHeight="true" outlineLevel="0" collapsed="false">
      <c r="A7" s="8" t="s">
        <v>179</v>
      </c>
      <c r="B7" s="11" t="s">
        <v>33</v>
      </c>
      <c r="C7" s="11" t="s">
        <v>53</v>
      </c>
      <c r="D7" s="17" t="n">
        <v>12</v>
      </c>
      <c r="E7" s="5" t="s">
        <v>180</v>
      </c>
      <c r="F7" s="13" t="s">
        <v>181</v>
      </c>
      <c r="G7" s="5" t="s">
        <v>182</v>
      </c>
      <c r="H7" s="5" t="s">
        <v>183</v>
      </c>
      <c r="I7" s="14" t="s">
        <v>171</v>
      </c>
      <c r="J7" s="5" t="s">
        <v>184</v>
      </c>
      <c r="K7" s="9" t="n">
        <f aca="false">COUNTIF('Indicator links'!$A$2:$A$500,A7)</f>
        <v>2</v>
      </c>
    </row>
    <row r="8" customFormat="false" ht="57" hidden="false" customHeight="true" outlineLevel="0" collapsed="false">
      <c r="A8" s="8" t="s">
        <v>185</v>
      </c>
      <c r="B8" s="11" t="s">
        <v>33</v>
      </c>
      <c r="C8" s="11" t="s">
        <v>62</v>
      </c>
      <c r="D8" s="12" t="n">
        <v>9</v>
      </c>
      <c r="E8" s="5" t="s">
        <v>153</v>
      </c>
      <c r="F8" s="13" t="s">
        <v>163</v>
      </c>
      <c r="G8" s="5" t="s">
        <v>164</v>
      </c>
      <c r="H8" s="5" t="s">
        <v>165</v>
      </c>
      <c r="I8" s="14" t="s">
        <v>157</v>
      </c>
      <c r="J8" s="5"/>
      <c r="K8" s="9" t="n">
        <f aca="false">COUNTIF('Indicator links'!$A$2:$A$500,A8)</f>
        <v>2</v>
      </c>
    </row>
    <row r="9" customFormat="false" ht="34.5" hidden="false" customHeight="true" outlineLevel="0" collapsed="false">
      <c r="A9" s="8" t="s">
        <v>186</v>
      </c>
      <c r="B9" s="11" t="s">
        <v>33</v>
      </c>
      <c r="C9" s="11" t="s">
        <v>62</v>
      </c>
      <c r="D9" s="12" t="n">
        <v>9</v>
      </c>
      <c r="E9" s="5" t="s">
        <v>153</v>
      </c>
      <c r="F9" s="13" t="s">
        <v>187</v>
      </c>
      <c r="G9" s="5" t="s">
        <v>188</v>
      </c>
      <c r="H9" s="5" t="s">
        <v>189</v>
      </c>
      <c r="I9" s="14" t="s">
        <v>157</v>
      </c>
      <c r="J9" s="5"/>
      <c r="K9" s="9" t="n">
        <f aca="false">COUNTIF('Indicator links'!$A$2:$A$500,A9)</f>
        <v>1</v>
      </c>
    </row>
    <row r="10" customFormat="false" ht="34.5" hidden="false" customHeight="true" outlineLevel="0" collapsed="false">
      <c r="A10" s="8" t="s">
        <v>190</v>
      </c>
      <c r="B10" s="11" t="s">
        <v>33</v>
      </c>
      <c r="C10" s="11" t="s">
        <v>62</v>
      </c>
      <c r="D10" s="15" t="n">
        <v>8</v>
      </c>
      <c r="E10" s="5" t="s">
        <v>167</v>
      </c>
      <c r="F10" s="13" t="s">
        <v>168</v>
      </c>
      <c r="G10" s="5" t="s">
        <v>169</v>
      </c>
      <c r="H10" s="5" t="s">
        <v>170</v>
      </c>
      <c r="I10" s="14" t="s">
        <v>171</v>
      </c>
      <c r="J10" s="5" t="s">
        <v>191</v>
      </c>
      <c r="K10" s="9" t="n">
        <f aca="false">COUNTIF('Indicator links'!$A$2:$A$500,A10)</f>
        <v>1</v>
      </c>
    </row>
    <row r="11" customFormat="false" ht="23.25" hidden="false" customHeight="true" outlineLevel="0" collapsed="false">
      <c r="A11" s="8" t="s">
        <v>192</v>
      </c>
      <c r="B11" s="11" t="s">
        <v>33</v>
      </c>
      <c r="C11" s="11" t="s">
        <v>62</v>
      </c>
      <c r="D11" s="18" t="n">
        <v>16</v>
      </c>
      <c r="E11" s="5" t="s">
        <v>193</v>
      </c>
      <c r="F11" s="13" t="s">
        <v>130</v>
      </c>
      <c r="G11" s="5" t="s">
        <v>194</v>
      </c>
      <c r="H11" s="5" t="s">
        <v>195</v>
      </c>
      <c r="I11" s="14" t="s">
        <v>171</v>
      </c>
      <c r="J11" s="5" t="s">
        <v>196</v>
      </c>
      <c r="K11" s="9" t="n">
        <f aca="false">COUNTIF('Indicator links'!$A$2:$A$500,A11)</f>
        <v>2</v>
      </c>
    </row>
    <row r="12" customFormat="false" ht="23.25" hidden="false" customHeight="true" outlineLevel="0" collapsed="false">
      <c r="A12" s="8" t="s">
        <v>197</v>
      </c>
      <c r="B12" s="11" t="s">
        <v>33</v>
      </c>
      <c r="C12" s="11" t="s">
        <v>62</v>
      </c>
      <c r="D12" s="18" t="n">
        <v>16</v>
      </c>
      <c r="E12" s="5" t="s">
        <v>193</v>
      </c>
      <c r="F12" s="13" t="s">
        <v>198</v>
      </c>
      <c r="G12" s="5" t="s">
        <v>199</v>
      </c>
      <c r="H12" s="5" t="s">
        <v>200</v>
      </c>
      <c r="I12" s="14" t="s">
        <v>171</v>
      </c>
      <c r="J12" s="5" t="s">
        <v>201</v>
      </c>
      <c r="K12" s="9" t="n">
        <f aca="false">COUNTIF('Indicator links'!$A$2:$A$500,A12)</f>
        <v>2</v>
      </c>
    </row>
    <row r="13" customFormat="false" ht="34.5" hidden="false" customHeight="true" outlineLevel="0" collapsed="false">
      <c r="A13" s="8" t="s">
        <v>202</v>
      </c>
      <c r="B13" s="11" t="s">
        <v>33</v>
      </c>
      <c r="C13" s="11" t="s">
        <v>62</v>
      </c>
      <c r="D13" s="19" t="n">
        <v>17</v>
      </c>
      <c r="E13" s="5" t="s">
        <v>203</v>
      </c>
      <c r="F13" s="13" t="s">
        <v>204</v>
      </c>
      <c r="G13" s="5" t="s">
        <v>205</v>
      </c>
      <c r="H13" s="5" t="s">
        <v>206</v>
      </c>
      <c r="I13" s="14" t="s">
        <v>171</v>
      </c>
      <c r="J13" s="5" t="s">
        <v>207</v>
      </c>
      <c r="K13" s="9" t="n">
        <f aca="false">COUNTIF('Indicator links'!$A$2:$A$500,A13)</f>
        <v>1</v>
      </c>
    </row>
    <row r="14" customFormat="false" ht="34.5" hidden="false" customHeight="true" outlineLevel="0" collapsed="false">
      <c r="A14" s="8" t="s">
        <v>208</v>
      </c>
      <c r="B14" s="11" t="s">
        <v>36</v>
      </c>
      <c r="C14" s="11" t="s">
        <v>71</v>
      </c>
      <c r="D14" s="12" t="n">
        <v>9</v>
      </c>
      <c r="E14" s="5" t="s">
        <v>153</v>
      </c>
      <c r="F14" s="13" t="s">
        <v>154</v>
      </c>
      <c r="G14" s="5" t="s">
        <v>155</v>
      </c>
      <c r="H14" s="5" t="s">
        <v>156</v>
      </c>
      <c r="I14" s="14" t="s">
        <v>157</v>
      </c>
      <c r="J14" s="5"/>
      <c r="K14" s="9" t="n">
        <f aca="false">COUNTIF('Indicator links'!$A$2:$A$500,A14)</f>
        <v>2</v>
      </c>
    </row>
    <row r="15" customFormat="false" ht="23.25" hidden="false" customHeight="true" outlineLevel="0" collapsed="false">
      <c r="A15" s="8" t="s">
        <v>209</v>
      </c>
      <c r="B15" s="11" t="s">
        <v>36</v>
      </c>
      <c r="C15" s="11" t="s">
        <v>71</v>
      </c>
      <c r="D15" s="20" t="n">
        <v>13</v>
      </c>
      <c r="E15" s="5" t="s">
        <v>210</v>
      </c>
      <c r="F15" s="13" t="s">
        <v>211</v>
      </c>
      <c r="G15" s="5" t="s">
        <v>212</v>
      </c>
      <c r="H15" s="5" t="s">
        <v>213</v>
      </c>
      <c r="I15" s="14" t="s">
        <v>157</v>
      </c>
      <c r="J15" s="5"/>
      <c r="K15" s="9" t="n">
        <f aca="false">COUNTIF('Indicator links'!$A$2:$A$500,A15)</f>
        <v>3</v>
      </c>
    </row>
    <row r="16" customFormat="false" ht="23.25" hidden="false" customHeight="true" outlineLevel="0" collapsed="false">
      <c r="A16" s="8" t="s">
        <v>214</v>
      </c>
      <c r="B16" s="11" t="s">
        <v>36</v>
      </c>
      <c r="C16" s="11" t="s">
        <v>71</v>
      </c>
      <c r="D16" s="20" t="n">
        <v>13</v>
      </c>
      <c r="E16" s="5" t="s">
        <v>210</v>
      </c>
      <c r="F16" s="13" t="s">
        <v>215</v>
      </c>
      <c r="G16" s="5" t="s">
        <v>216</v>
      </c>
      <c r="H16" s="5" t="s">
        <v>217</v>
      </c>
      <c r="I16" s="14" t="s">
        <v>157</v>
      </c>
      <c r="J16" s="5"/>
      <c r="K16" s="9" t="n">
        <f aca="false">COUNTIF('Indicator links'!$A$2:$A$500,A16)</f>
        <v>2</v>
      </c>
    </row>
    <row r="17" customFormat="false" ht="34.5" hidden="false" customHeight="true" outlineLevel="0" collapsed="false">
      <c r="A17" s="8" t="s">
        <v>218</v>
      </c>
      <c r="B17" s="11" t="s">
        <v>36</v>
      </c>
      <c r="C17" s="11" t="s">
        <v>71</v>
      </c>
      <c r="D17" s="21" t="n">
        <v>6</v>
      </c>
      <c r="E17" s="5" t="s">
        <v>219</v>
      </c>
      <c r="F17" s="13" t="s">
        <v>220</v>
      </c>
      <c r="G17" s="5" t="s">
        <v>221</v>
      </c>
      <c r="H17" s="5" t="s">
        <v>222</v>
      </c>
      <c r="I17" s="14" t="s">
        <v>171</v>
      </c>
      <c r="J17" s="5" t="s">
        <v>223</v>
      </c>
      <c r="K17" s="9" t="n">
        <f aca="false">COUNTIF('Indicator links'!$A$2:$A$500,A17)</f>
        <v>2</v>
      </c>
    </row>
    <row r="18" customFormat="false" ht="23.25" hidden="false" customHeight="true" outlineLevel="0" collapsed="false">
      <c r="A18" s="8" t="s">
        <v>224</v>
      </c>
      <c r="B18" s="11" t="s">
        <v>36</v>
      </c>
      <c r="C18" s="11" t="s">
        <v>71</v>
      </c>
      <c r="D18" s="21" t="n">
        <v>6</v>
      </c>
      <c r="E18" s="5" t="s">
        <v>219</v>
      </c>
      <c r="F18" s="13" t="s">
        <v>225</v>
      </c>
      <c r="G18" s="5" t="s">
        <v>226</v>
      </c>
      <c r="H18" s="5" t="s">
        <v>227</v>
      </c>
      <c r="I18" s="14" t="s">
        <v>171</v>
      </c>
      <c r="J18" s="5" t="s">
        <v>223</v>
      </c>
      <c r="K18" s="9" t="n">
        <f aca="false">COUNTIF('Indicator links'!$A$2:$A$500,A18)</f>
        <v>2</v>
      </c>
    </row>
    <row r="19" customFormat="false" ht="23.25" hidden="false" customHeight="true" outlineLevel="0" collapsed="false">
      <c r="A19" s="8" t="s">
        <v>228</v>
      </c>
      <c r="B19" s="11" t="s">
        <v>36</v>
      </c>
      <c r="C19" s="11" t="s">
        <v>71</v>
      </c>
      <c r="D19" s="22" t="n">
        <v>7</v>
      </c>
      <c r="E19" s="5" t="s">
        <v>229</v>
      </c>
      <c r="F19" s="13" t="s">
        <v>230</v>
      </c>
      <c r="G19" s="5" t="s">
        <v>231</v>
      </c>
      <c r="H19" s="5" t="s">
        <v>232</v>
      </c>
      <c r="I19" s="14" t="s">
        <v>171</v>
      </c>
      <c r="J19" s="5" t="s">
        <v>233</v>
      </c>
      <c r="K19" s="9" t="n">
        <f aca="false">COUNTIF('Indicator links'!$A$2:$A$500,A19)</f>
        <v>1</v>
      </c>
    </row>
    <row r="20" customFormat="false" ht="23.25" hidden="false" customHeight="true" outlineLevel="0" collapsed="false">
      <c r="A20" s="8" t="s">
        <v>234</v>
      </c>
      <c r="B20" s="11" t="s">
        <v>36</v>
      </c>
      <c r="C20" s="11" t="s">
        <v>71</v>
      </c>
      <c r="D20" s="22" t="n">
        <v>7</v>
      </c>
      <c r="E20" s="5" t="s">
        <v>229</v>
      </c>
      <c r="F20" s="13" t="s">
        <v>235</v>
      </c>
      <c r="G20" s="5" t="s">
        <v>236</v>
      </c>
      <c r="H20" s="5" t="s">
        <v>237</v>
      </c>
      <c r="I20" s="14" t="s">
        <v>171</v>
      </c>
      <c r="J20" s="5" t="s">
        <v>233</v>
      </c>
      <c r="K20" s="9" t="n">
        <f aca="false">COUNTIF('Indicator links'!$A$2:$A$500,A20)</f>
        <v>1</v>
      </c>
    </row>
    <row r="21" customFormat="false" ht="45.75" hidden="false" customHeight="true" outlineLevel="0" collapsed="false">
      <c r="A21" s="8" t="s">
        <v>238</v>
      </c>
      <c r="B21" s="11" t="s">
        <v>36</v>
      </c>
      <c r="C21" s="11" t="s">
        <v>71</v>
      </c>
      <c r="D21" s="16" t="n">
        <v>11</v>
      </c>
      <c r="E21" s="5" t="s">
        <v>174</v>
      </c>
      <c r="F21" s="13" t="s">
        <v>239</v>
      </c>
      <c r="G21" s="5" t="s">
        <v>240</v>
      </c>
      <c r="H21" s="5" t="s">
        <v>241</v>
      </c>
      <c r="I21" s="14" t="s">
        <v>171</v>
      </c>
      <c r="J21" s="5" t="s">
        <v>242</v>
      </c>
      <c r="K21" s="9" t="n">
        <f aca="false">COUNTIF('Indicator links'!$A$2:$A$500,A21)</f>
        <v>3</v>
      </c>
    </row>
    <row r="22" customFormat="false" ht="57" hidden="false" customHeight="true" outlineLevel="0" collapsed="false">
      <c r="A22" s="8" t="s">
        <v>243</v>
      </c>
      <c r="B22" s="11" t="s">
        <v>36</v>
      </c>
      <c r="C22" s="11" t="s">
        <v>71</v>
      </c>
      <c r="D22" s="16" t="n">
        <v>11</v>
      </c>
      <c r="E22" s="5" t="s">
        <v>174</v>
      </c>
      <c r="F22" s="13" t="s">
        <v>244</v>
      </c>
      <c r="G22" s="5" t="s">
        <v>245</v>
      </c>
      <c r="H22" s="5" t="s">
        <v>246</v>
      </c>
      <c r="I22" s="14" t="s">
        <v>171</v>
      </c>
      <c r="J22" s="5" t="s">
        <v>242</v>
      </c>
      <c r="K22" s="9" t="n">
        <f aca="false">COUNTIF('Indicator links'!$A$2:$A$500,A22)</f>
        <v>2</v>
      </c>
    </row>
    <row r="23" customFormat="false" ht="23.25" hidden="false" customHeight="true" outlineLevel="0" collapsed="false">
      <c r="A23" s="8" t="s">
        <v>247</v>
      </c>
      <c r="B23" s="11" t="s">
        <v>36</v>
      </c>
      <c r="C23" s="11" t="s">
        <v>71</v>
      </c>
      <c r="D23" s="17" t="n">
        <v>12</v>
      </c>
      <c r="E23" s="5" t="s">
        <v>180</v>
      </c>
      <c r="F23" s="13" t="s">
        <v>181</v>
      </c>
      <c r="G23" s="5" t="s">
        <v>182</v>
      </c>
      <c r="H23" s="5" t="s">
        <v>183</v>
      </c>
      <c r="I23" s="14" t="s">
        <v>171</v>
      </c>
      <c r="J23" s="5" t="s">
        <v>248</v>
      </c>
      <c r="K23" s="9" t="n">
        <f aca="false">COUNTIF('Indicator links'!$A$2:$A$500,A23)</f>
        <v>2</v>
      </c>
    </row>
    <row r="24" customFormat="false" ht="34.5" hidden="false" customHeight="true" outlineLevel="0" collapsed="false">
      <c r="A24" s="8" t="s">
        <v>249</v>
      </c>
      <c r="B24" s="11" t="s">
        <v>36</v>
      </c>
      <c r="C24" s="11" t="s">
        <v>80</v>
      </c>
      <c r="D24" s="16" t="n">
        <v>11</v>
      </c>
      <c r="E24" s="5" t="s">
        <v>174</v>
      </c>
      <c r="F24" s="13" t="s">
        <v>175</v>
      </c>
      <c r="G24" s="5" t="s">
        <v>176</v>
      </c>
      <c r="H24" s="5" t="s">
        <v>177</v>
      </c>
      <c r="I24" s="14" t="s">
        <v>157</v>
      </c>
      <c r="J24" s="5"/>
      <c r="K24" s="9" t="n">
        <f aca="false">COUNTIF('Indicator links'!$A$2:$A$500,A24)</f>
        <v>2</v>
      </c>
    </row>
    <row r="25" customFormat="false" ht="23.25" hidden="false" customHeight="true" outlineLevel="0" collapsed="false">
      <c r="A25" s="8" t="s">
        <v>250</v>
      </c>
      <c r="B25" s="11" t="s">
        <v>36</v>
      </c>
      <c r="C25" s="11" t="s">
        <v>80</v>
      </c>
      <c r="D25" s="16" t="n">
        <v>11</v>
      </c>
      <c r="E25" s="5" t="s">
        <v>174</v>
      </c>
      <c r="F25" s="13" t="s">
        <v>251</v>
      </c>
      <c r="G25" s="5" t="s">
        <v>252</v>
      </c>
      <c r="H25" s="5" t="s">
        <v>253</v>
      </c>
      <c r="I25" s="14" t="s">
        <v>157</v>
      </c>
      <c r="J25" s="5"/>
      <c r="K25" s="9" t="n">
        <f aca="false">COUNTIF('Indicator links'!$A$2:$A$500,A25)</f>
        <v>1</v>
      </c>
    </row>
    <row r="26" customFormat="false" ht="34.5" hidden="false" customHeight="true" outlineLevel="0" collapsed="false">
      <c r="A26" s="8" t="s">
        <v>254</v>
      </c>
      <c r="B26" s="11" t="s">
        <v>36</v>
      </c>
      <c r="C26" s="11" t="s">
        <v>80</v>
      </c>
      <c r="D26" s="12" t="n">
        <v>9</v>
      </c>
      <c r="E26" s="5" t="s">
        <v>153</v>
      </c>
      <c r="F26" s="13" t="s">
        <v>154</v>
      </c>
      <c r="G26" s="5" t="s">
        <v>155</v>
      </c>
      <c r="H26" s="5" t="s">
        <v>156</v>
      </c>
      <c r="I26" s="14" t="s">
        <v>171</v>
      </c>
      <c r="J26" s="5" t="s">
        <v>255</v>
      </c>
      <c r="K26" s="9" t="n">
        <f aca="false">COUNTIF('Indicator links'!$A$2:$A$500,A26)</f>
        <v>2</v>
      </c>
    </row>
    <row r="27" customFormat="false" ht="23.25" hidden="false" customHeight="true" outlineLevel="0" collapsed="false">
      <c r="A27" s="8" t="s">
        <v>256</v>
      </c>
      <c r="B27" s="11" t="s">
        <v>36</v>
      </c>
      <c r="C27" s="11" t="s">
        <v>80</v>
      </c>
      <c r="D27" s="20" t="n">
        <v>13</v>
      </c>
      <c r="E27" s="5" t="s">
        <v>210</v>
      </c>
      <c r="F27" s="13" t="s">
        <v>215</v>
      </c>
      <c r="G27" s="5" t="s">
        <v>216</v>
      </c>
      <c r="H27" s="5" t="s">
        <v>217</v>
      </c>
      <c r="I27" s="14" t="s">
        <v>171</v>
      </c>
      <c r="J27" s="5" t="s">
        <v>257</v>
      </c>
      <c r="K27" s="9" t="n">
        <f aca="false">COUNTIF('Indicator links'!$A$2:$A$500,A27)</f>
        <v>2</v>
      </c>
    </row>
    <row r="28" customFormat="false" ht="15" hidden="false" customHeight="true" outlineLevel="0" collapsed="false">
      <c r="A28" s="8" t="s">
        <v>258</v>
      </c>
      <c r="B28" s="11" t="s">
        <v>36</v>
      </c>
      <c r="C28" s="11" t="s">
        <v>80</v>
      </c>
      <c r="D28" s="19" t="n">
        <v>17</v>
      </c>
      <c r="E28" s="5" t="s">
        <v>203</v>
      </c>
      <c r="F28" s="13" t="s">
        <v>259</v>
      </c>
      <c r="G28" s="5" t="s">
        <v>260</v>
      </c>
      <c r="H28" s="5" t="s">
        <v>261</v>
      </c>
      <c r="I28" s="14" t="s">
        <v>171</v>
      </c>
      <c r="J28" s="5" t="s">
        <v>262</v>
      </c>
      <c r="K28" s="9" t="n">
        <f aca="false">COUNTIF('Indicator links'!$A$2:$A$500,A28)</f>
        <v>1</v>
      </c>
    </row>
    <row r="29" customFormat="false" ht="45.75" hidden="false" customHeight="true" outlineLevel="0" collapsed="false">
      <c r="A29" s="8" t="s">
        <v>263</v>
      </c>
      <c r="B29" s="11" t="s">
        <v>36</v>
      </c>
      <c r="C29" s="11" t="s">
        <v>80</v>
      </c>
      <c r="D29" s="19" t="n">
        <v>17</v>
      </c>
      <c r="E29" s="5" t="s">
        <v>203</v>
      </c>
      <c r="F29" s="13" t="s">
        <v>264</v>
      </c>
      <c r="G29" s="5" t="s">
        <v>265</v>
      </c>
      <c r="H29" s="5" t="s">
        <v>266</v>
      </c>
      <c r="I29" s="14" t="s">
        <v>171</v>
      </c>
      <c r="J29" s="5" t="s">
        <v>267</v>
      </c>
      <c r="K29" s="9" t="n">
        <f aca="false">COUNTIF('Indicator links'!$A$2:$A$500,A29)</f>
        <v>1</v>
      </c>
    </row>
    <row r="30" customFormat="false" ht="23.25" hidden="false" customHeight="true" outlineLevel="0" collapsed="false">
      <c r="A30" s="8" t="s">
        <v>268</v>
      </c>
      <c r="B30" s="11" t="s">
        <v>36</v>
      </c>
      <c r="C30" s="11" t="s">
        <v>80</v>
      </c>
      <c r="D30" s="19" t="n">
        <v>17</v>
      </c>
      <c r="E30" s="5" t="s">
        <v>203</v>
      </c>
      <c r="F30" s="13" t="s">
        <v>269</v>
      </c>
      <c r="G30" s="5" t="s">
        <v>270</v>
      </c>
      <c r="H30" s="5" t="s">
        <v>271</v>
      </c>
      <c r="I30" s="14" t="s">
        <v>171</v>
      </c>
      <c r="J30" s="5" t="s">
        <v>267</v>
      </c>
      <c r="K30" s="9" t="n">
        <f aca="false">COUNTIF('Indicator links'!$A$2:$A$500,A30)</f>
        <v>1</v>
      </c>
    </row>
    <row r="31" customFormat="false" ht="23.25" hidden="false" customHeight="true" outlineLevel="0" collapsed="false">
      <c r="A31" s="8" t="s">
        <v>272</v>
      </c>
      <c r="B31" s="11" t="s">
        <v>36</v>
      </c>
      <c r="C31" s="11" t="s">
        <v>89</v>
      </c>
      <c r="D31" s="17" t="n">
        <v>12</v>
      </c>
      <c r="E31" s="5" t="s">
        <v>180</v>
      </c>
      <c r="F31" s="13" t="s">
        <v>181</v>
      </c>
      <c r="G31" s="5" t="s">
        <v>182</v>
      </c>
      <c r="H31" s="5" t="s">
        <v>183</v>
      </c>
      <c r="I31" s="14" t="s">
        <v>157</v>
      </c>
      <c r="J31" s="5"/>
      <c r="K31" s="9" t="n">
        <f aca="false">COUNTIF('Indicator links'!$A$2:$A$500,A31)</f>
        <v>2</v>
      </c>
    </row>
    <row r="32" customFormat="false" ht="23.25" hidden="false" customHeight="true" outlineLevel="0" collapsed="false">
      <c r="A32" s="8" t="s">
        <v>273</v>
      </c>
      <c r="B32" s="11" t="s">
        <v>36</v>
      </c>
      <c r="C32" s="11" t="s">
        <v>89</v>
      </c>
      <c r="D32" s="17" t="n">
        <v>12</v>
      </c>
      <c r="E32" s="5" t="s">
        <v>180</v>
      </c>
      <c r="F32" s="13" t="s">
        <v>274</v>
      </c>
      <c r="G32" s="5" t="s">
        <v>275</v>
      </c>
      <c r="H32" s="5" t="s">
        <v>276</v>
      </c>
      <c r="I32" s="14" t="s">
        <v>157</v>
      </c>
      <c r="J32" s="5"/>
      <c r="K32" s="9" t="n">
        <f aca="false">COUNTIF('Indicator links'!$A$2:$A$500,A32)</f>
        <v>1</v>
      </c>
    </row>
    <row r="33" customFormat="false" ht="45.75" hidden="false" customHeight="true" outlineLevel="0" collapsed="false">
      <c r="A33" s="8" t="s">
        <v>277</v>
      </c>
      <c r="B33" s="11" t="s">
        <v>36</v>
      </c>
      <c r="C33" s="11" t="s">
        <v>89</v>
      </c>
      <c r="D33" s="15" t="n">
        <v>8</v>
      </c>
      <c r="E33" s="5" t="s">
        <v>167</v>
      </c>
      <c r="F33" s="13" t="s">
        <v>278</v>
      </c>
      <c r="G33" s="5" t="s">
        <v>279</v>
      </c>
      <c r="H33" s="5" t="s">
        <v>280</v>
      </c>
      <c r="I33" s="14" t="s">
        <v>171</v>
      </c>
      <c r="J33" s="5" t="s">
        <v>281</v>
      </c>
      <c r="K33" s="9" t="n">
        <f aca="false">COUNTIF('Indicator links'!$A$2:$A$500,A33)</f>
        <v>1</v>
      </c>
    </row>
    <row r="34" customFormat="false" ht="45.75" hidden="false" customHeight="true" outlineLevel="0" collapsed="false">
      <c r="A34" s="8" t="s">
        <v>282</v>
      </c>
      <c r="B34" s="11" t="s">
        <v>36</v>
      </c>
      <c r="C34" s="11" t="s">
        <v>89</v>
      </c>
      <c r="D34" s="12" t="n">
        <v>9</v>
      </c>
      <c r="E34" s="5" t="s">
        <v>153</v>
      </c>
      <c r="F34" s="13" t="s">
        <v>159</v>
      </c>
      <c r="G34" s="5" t="s">
        <v>160</v>
      </c>
      <c r="H34" s="5" t="s">
        <v>161</v>
      </c>
      <c r="I34" s="14" t="s">
        <v>171</v>
      </c>
      <c r="J34" s="5" t="s">
        <v>283</v>
      </c>
      <c r="K34" s="9" t="n">
        <f aca="false">COUNTIF('Indicator links'!$A$2:$A$500,A34)</f>
        <v>1</v>
      </c>
    </row>
    <row r="35" customFormat="false" ht="23.25" hidden="false" customHeight="true" outlineLevel="0" collapsed="false">
      <c r="A35" s="8" t="s">
        <v>284</v>
      </c>
      <c r="B35" s="11" t="s">
        <v>36</v>
      </c>
      <c r="C35" s="11" t="s">
        <v>89</v>
      </c>
      <c r="D35" s="16" t="n">
        <v>11</v>
      </c>
      <c r="E35" s="5" t="s">
        <v>174</v>
      </c>
      <c r="F35" s="13" t="s">
        <v>285</v>
      </c>
      <c r="G35" s="5" t="s">
        <v>286</v>
      </c>
      <c r="H35" s="5" t="s">
        <v>287</v>
      </c>
      <c r="I35" s="14" t="s">
        <v>171</v>
      </c>
      <c r="J35" s="5" t="s">
        <v>288</v>
      </c>
      <c r="K35" s="9" t="n">
        <f aca="false">COUNTIF('Indicator links'!$A$2:$A$500,A35)</f>
        <v>2</v>
      </c>
    </row>
    <row r="36" customFormat="false" ht="23.25" hidden="false" customHeight="true" outlineLevel="0" collapsed="false">
      <c r="A36" s="8" t="s">
        <v>289</v>
      </c>
      <c r="B36" s="11" t="s">
        <v>36</v>
      </c>
      <c r="C36" s="11" t="s">
        <v>89</v>
      </c>
      <c r="D36" s="20" t="n">
        <v>13</v>
      </c>
      <c r="E36" s="5" t="s">
        <v>210</v>
      </c>
      <c r="F36" s="13" t="s">
        <v>215</v>
      </c>
      <c r="G36" s="5" t="s">
        <v>216</v>
      </c>
      <c r="H36" s="5" t="s">
        <v>217</v>
      </c>
      <c r="I36" s="14" t="s">
        <v>171</v>
      </c>
      <c r="J36" s="5" t="s">
        <v>290</v>
      </c>
      <c r="K36" s="9" t="n">
        <f aca="false">COUNTIF('Indicator links'!$A$2:$A$500,A36)</f>
        <v>2</v>
      </c>
    </row>
    <row r="37" customFormat="false" ht="23.25" hidden="false" customHeight="true" outlineLevel="0" collapsed="false">
      <c r="A37" s="8" t="s">
        <v>291</v>
      </c>
      <c r="B37" s="11" t="s">
        <v>39</v>
      </c>
      <c r="C37" s="11" t="s">
        <v>98</v>
      </c>
      <c r="D37" s="16" t="n">
        <v>11</v>
      </c>
      <c r="E37" s="5" t="s">
        <v>174</v>
      </c>
      <c r="F37" s="13" t="s">
        <v>292</v>
      </c>
      <c r="G37" s="5" t="s">
        <v>293</v>
      </c>
      <c r="H37" s="5" t="s">
        <v>294</v>
      </c>
      <c r="I37" s="14" t="s">
        <v>157</v>
      </c>
      <c r="J37" s="5"/>
      <c r="K37" s="9" t="n">
        <f aca="false">COUNTIF('Indicator links'!$A$2:$A$500,A37)</f>
        <v>1</v>
      </c>
    </row>
    <row r="38" customFormat="false" ht="45.75" hidden="false" customHeight="true" outlineLevel="0" collapsed="false">
      <c r="A38" s="8" t="s">
        <v>295</v>
      </c>
      <c r="B38" s="11" t="s">
        <v>39</v>
      </c>
      <c r="C38" s="11" t="s">
        <v>98</v>
      </c>
      <c r="D38" s="16" t="n">
        <v>11</v>
      </c>
      <c r="E38" s="5" t="s">
        <v>174</v>
      </c>
      <c r="F38" s="13" t="s">
        <v>296</v>
      </c>
      <c r="G38" s="5" t="s">
        <v>297</v>
      </c>
      <c r="H38" s="5" t="s">
        <v>298</v>
      </c>
      <c r="I38" s="14" t="s">
        <v>157</v>
      </c>
      <c r="J38" s="5"/>
      <c r="K38" s="9" t="n">
        <f aca="false">COUNTIF('Indicator links'!$A$2:$A$500,A38)</f>
        <v>1</v>
      </c>
    </row>
    <row r="39" customFormat="false" ht="34.5" hidden="false" customHeight="true" outlineLevel="0" collapsed="false">
      <c r="A39" s="8" t="s">
        <v>299</v>
      </c>
      <c r="B39" s="11" t="s">
        <v>39</v>
      </c>
      <c r="C39" s="11" t="s">
        <v>98</v>
      </c>
      <c r="D39" s="16" t="n">
        <v>11</v>
      </c>
      <c r="E39" s="5" t="s">
        <v>174</v>
      </c>
      <c r="F39" s="13" t="s">
        <v>175</v>
      </c>
      <c r="G39" s="5" t="s">
        <v>176</v>
      </c>
      <c r="H39" s="5" t="s">
        <v>177</v>
      </c>
      <c r="I39" s="14" t="s">
        <v>157</v>
      </c>
      <c r="J39" s="5"/>
      <c r="K39" s="9" t="n">
        <f aca="false">COUNTIF('Indicator links'!$A$2:$A$500,A39)</f>
        <v>2</v>
      </c>
    </row>
    <row r="40" customFormat="false" ht="23.25" hidden="false" customHeight="true" outlineLevel="0" collapsed="false">
      <c r="A40" s="8" t="s">
        <v>300</v>
      </c>
      <c r="B40" s="11" t="s">
        <v>39</v>
      </c>
      <c r="C40" s="11" t="s">
        <v>98</v>
      </c>
      <c r="D40" s="16" t="n">
        <v>11</v>
      </c>
      <c r="E40" s="5" t="s">
        <v>174</v>
      </c>
      <c r="F40" s="13" t="s">
        <v>251</v>
      </c>
      <c r="G40" s="5" t="s">
        <v>252</v>
      </c>
      <c r="H40" s="5" t="s">
        <v>253</v>
      </c>
      <c r="I40" s="14" t="s">
        <v>157</v>
      </c>
      <c r="J40" s="5"/>
      <c r="K40" s="9" t="n">
        <f aca="false">COUNTIF('Indicator links'!$A$2:$A$500,A40)</f>
        <v>1</v>
      </c>
    </row>
    <row r="41" customFormat="false" ht="34.5" hidden="false" customHeight="true" outlineLevel="0" collapsed="false">
      <c r="A41" s="8" t="s">
        <v>301</v>
      </c>
      <c r="B41" s="11" t="s">
        <v>39</v>
      </c>
      <c r="C41" s="11" t="s">
        <v>98</v>
      </c>
      <c r="D41" s="23" t="n">
        <v>4</v>
      </c>
      <c r="E41" s="5" t="s">
        <v>302</v>
      </c>
      <c r="F41" s="13" t="s">
        <v>303</v>
      </c>
      <c r="G41" s="5" t="s">
        <v>304</v>
      </c>
      <c r="H41" s="5" t="s">
        <v>305</v>
      </c>
      <c r="I41" s="14" t="s">
        <v>171</v>
      </c>
      <c r="J41" s="5" t="s">
        <v>306</v>
      </c>
      <c r="K41" s="9" t="n">
        <f aca="false">COUNTIF('Indicator links'!$A$2:$A$500,A41)</f>
        <v>1</v>
      </c>
    </row>
    <row r="42" customFormat="false" ht="34.5" hidden="false" customHeight="true" outlineLevel="0" collapsed="false">
      <c r="A42" s="8" t="s">
        <v>307</v>
      </c>
      <c r="B42" s="11" t="s">
        <v>39</v>
      </c>
      <c r="C42" s="11" t="s">
        <v>98</v>
      </c>
      <c r="D42" s="12" t="n">
        <v>9</v>
      </c>
      <c r="E42" s="5" t="s">
        <v>153</v>
      </c>
      <c r="F42" s="13" t="s">
        <v>154</v>
      </c>
      <c r="G42" s="5" t="s">
        <v>155</v>
      </c>
      <c r="H42" s="5" t="s">
        <v>156</v>
      </c>
      <c r="I42" s="14" t="s">
        <v>171</v>
      </c>
      <c r="J42" s="5" t="s">
        <v>308</v>
      </c>
      <c r="K42" s="9" t="n">
        <f aca="false">COUNTIF('Indicator links'!$A$2:$A$500,A42)</f>
        <v>2</v>
      </c>
    </row>
    <row r="43" customFormat="false" ht="34.5" hidden="false" customHeight="true" outlineLevel="0" collapsed="false">
      <c r="A43" s="8" t="s">
        <v>309</v>
      </c>
      <c r="B43" s="11" t="s">
        <v>39</v>
      </c>
      <c r="C43" s="11" t="s">
        <v>98</v>
      </c>
      <c r="D43" s="24" t="n">
        <v>10</v>
      </c>
      <c r="E43" s="5" t="s">
        <v>310</v>
      </c>
      <c r="F43" s="13" t="s">
        <v>311</v>
      </c>
      <c r="G43" s="5" t="s">
        <v>312</v>
      </c>
      <c r="H43" s="5" t="s">
        <v>313</v>
      </c>
      <c r="I43" s="14" t="s">
        <v>171</v>
      </c>
      <c r="J43" s="5" t="s">
        <v>314</v>
      </c>
      <c r="K43" s="9" t="n">
        <f aca="false">COUNTIF('Indicator links'!$A$2:$A$500,A43)</f>
        <v>1</v>
      </c>
    </row>
    <row r="44" customFormat="false" ht="34.5" hidden="false" customHeight="true" outlineLevel="0" collapsed="false">
      <c r="A44" s="8" t="s">
        <v>315</v>
      </c>
      <c r="B44" s="11" t="s">
        <v>39</v>
      </c>
      <c r="C44" s="11" t="s">
        <v>107</v>
      </c>
      <c r="D44" s="24" t="n">
        <v>10</v>
      </c>
      <c r="E44" s="5" t="s">
        <v>310</v>
      </c>
      <c r="F44" s="13" t="s">
        <v>311</v>
      </c>
      <c r="G44" s="5" t="s">
        <v>312</v>
      </c>
      <c r="H44" s="5" t="s">
        <v>313</v>
      </c>
      <c r="I44" s="14" t="s">
        <v>157</v>
      </c>
      <c r="J44" s="5"/>
      <c r="K44" s="9" t="n">
        <f aca="false">COUNTIF('Indicator links'!$A$2:$A$500,A44)</f>
        <v>1</v>
      </c>
    </row>
    <row r="45" customFormat="false" ht="34.5" hidden="false" customHeight="true" outlineLevel="0" collapsed="false">
      <c r="A45" s="8" t="s">
        <v>316</v>
      </c>
      <c r="B45" s="11" t="s">
        <v>39</v>
      </c>
      <c r="C45" s="11" t="s">
        <v>107</v>
      </c>
      <c r="D45" s="16" t="n">
        <v>11</v>
      </c>
      <c r="E45" s="5" t="s">
        <v>174</v>
      </c>
      <c r="F45" s="13" t="s">
        <v>175</v>
      </c>
      <c r="G45" s="5" t="s">
        <v>176</v>
      </c>
      <c r="H45" s="5" t="s">
        <v>177</v>
      </c>
      <c r="I45" s="14" t="s">
        <v>157</v>
      </c>
      <c r="J45" s="5"/>
      <c r="K45" s="9" t="n">
        <f aca="false">COUNTIF('Indicator links'!$A$2:$A$500,A45)</f>
        <v>2</v>
      </c>
    </row>
    <row r="46" customFormat="false" ht="45.75" hidden="false" customHeight="true" outlineLevel="0" collapsed="false">
      <c r="A46" s="8" t="s">
        <v>317</v>
      </c>
      <c r="B46" s="11" t="s">
        <v>39</v>
      </c>
      <c r="C46" s="11" t="s">
        <v>107</v>
      </c>
      <c r="D46" s="25" t="n">
        <v>1</v>
      </c>
      <c r="E46" s="5" t="s">
        <v>318</v>
      </c>
      <c r="F46" s="13" t="s">
        <v>319</v>
      </c>
      <c r="G46" s="5" t="s">
        <v>320</v>
      </c>
      <c r="H46" s="5" t="s">
        <v>321</v>
      </c>
      <c r="I46" s="14" t="s">
        <v>171</v>
      </c>
      <c r="J46" s="5" t="s">
        <v>322</v>
      </c>
      <c r="K46" s="9" t="n">
        <f aca="false">COUNTIF('Indicator links'!$A$2:$A$500,A46)</f>
        <v>2</v>
      </c>
    </row>
    <row r="47" customFormat="false" ht="34.5" hidden="false" customHeight="true" outlineLevel="0" collapsed="false">
      <c r="A47" s="8" t="s">
        <v>323</v>
      </c>
      <c r="B47" s="11" t="s">
        <v>39</v>
      </c>
      <c r="C47" s="11" t="s">
        <v>107</v>
      </c>
      <c r="D47" s="12" t="n">
        <v>9</v>
      </c>
      <c r="E47" s="5" t="s">
        <v>153</v>
      </c>
      <c r="F47" s="13" t="s">
        <v>154</v>
      </c>
      <c r="G47" s="5" t="s">
        <v>155</v>
      </c>
      <c r="H47" s="5" t="s">
        <v>156</v>
      </c>
      <c r="I47" s="14" t="s">
        <v>171</v>
      </c>
      <c r="J47" s="5" t="s">
        <v>324</v>
      </c>
      <c r="K47" s="9" t="n">
        <f aca="false">COUNTIF('Indicator links'!$A$2:$A$500,A47)</f>
        <v>2</v>
      </c>
    </row>
    <row r="48" customFormat="false" ht="23.25" hidden="false" customHeight="true" outlineLevel="0" collapsed="false">
      <c r="A48" s="8" t="s">
        <v>325</v>
      </c>
      <c r="B48" s="11" t="s">
        <v>39</v>
      </c>
      <c r="C48" s="11" t="s">
        <v>107</v>
      </c>
      <c r="D48" s="18" t="n">
        <v>16</v>
      </c>
      <c r="E48" s="5" t="s">
        <v>193</v>
      </c>
      <c r="F48" s="13" t="s">
        <v>326</v>
      </c>
      <c r="G48" s="5" t="s">
        <v>327</v>
      </c>
      <c r="H48" s="5" t="s">
        <v>328</v>
      </c>
      <c r="I48" s="14" t="s">
        <v>171</v>
      </c>
      <c r="J48" s="5" t="s">
        <v>329</v>
      </c>
      <c r="K48" s="9" t="n">
        <f aca="false">COUNTIF('Indicator links'!$A$2:$A$500,A48)</f>
        <v>2</v>
      </c>
    </row>
    <row r="49" customFormat="false" ht="45.75" hidden="false" customHeight="true" outlineLevel="0" collapsed="false">
      <c r="A49" s="8" t="s">
        <v>330</v>
      </c>
      <c r="B49" s="11" t="s">
        <v>39</v>
      </c>
      <c r="C49" s="11" t="s">
        <v>116</v>
      </c>
      <c r="D49" s="19" t="n">
        <v>17</v>
      </c>
      <c r="E49" s="5" t="s">
        <v>203</v>
      </c>
      <c r="F49" s="13" t="s">
        <v>264</v>
      </c>
      <c r="G49" s="5" t="s">
        <v>265</v>
      </c>
      <c r="H49" s="5" t="s">
        <v>266</v>
      </c>
      <c r="I49" s="14" t="s">
        <v>157</v>
      </c>
      <c r="J49" s="5"/>
      <c r="K49" s="9" t="n">
        <f aca="false">COUNTIF('Indicator links'!$A$2:$A$500,A49)</f>
        <v>1</v>
      </c>
    </row>
    <row r="50" customFormat="false" ht="23.25" hidden="false" customHeight="true" outlineLevel="0" collapsed="false">
      <c r="A50" s="8" t="s">
        <v>331</v>
      </c>
      <c r="B50" s="11" t="s">
        <v>39</v>
      </c>
      <c r="C50" s="11" t="s">
        <v>116</v>
      </c>
      <c r="D50" s="19" t="n">
        <v>17</v>
      </c>
      <c r="E50" s="5" t="s">
        <v>203</v>
      </c>
      <c r="F50" s="13" t="s">
        <v>269</v>
      </c>
      <c r="G50" s="5" t="s">
        <v>270</v>
      </c>
      <c r="H50" s="5" t="s">
        <v>271</v>
      </c>
      <c r="I50" s="14" t="s">
        <v>157</v>
      </c>
      <c r="J50" s="5"/>
      <c r="K50" s="9" t="n">
        <f aca="false">COUNTIF('Indicator links'!$A$2:$A$500,A50)</f>
        <v>1</v>
      </c>
    </row>
    <row r="51" customFormat="false" ht="45.75" hidden="false" customHeight="true" outlineLevel="0" collapsed="false">
      <c r="A51" s="8" t="s">
        <v>332</v>
      </c>
      <c r="B51" s="11" t="s">
        <v>39</v>
      </c>
      <c r="C51" s="11" t="s">
        <v>116</v>
      </c>
      <c r="D51" s="15" t="n">
        <v>8</v>
      </c>
      <c r="E51" s="5" t="s">
        <v>167</v>
      </c>
      <c r="F51" s="13" t="s">
        <v>278</v>
      </c>
      <c r="G51" s="5" t="s">
        <v>279</v>
      </c>
      <c r="H51" s="5" t="s">
        <v>280</v>
      </c>
      <c r="I51" s="14" t="s">
        <v>171</v>
      </c>
      <c r="J51" s="5" t="s">
        <v>333</v>
      </c>
      <c r="K51" s="9" t="n">
        <f aca="false">COUNTIF('Indicator links'!$A$2:$A$500,A51)</f>
        <v>1</v>
      </c>
    </row>
    <row r="52" customFormat="false" ht="34.5" hidden="false" customHeight="true" outlineLevel="0" collapsed="false">
      <c r="A52" s="8" t="s">
        <v>334</v>
      </c>
      <c r="B52" s="11" t="s">
        <v>39</v>
      </c>
      <c r="C52" s="11" t="s">
        <v>116</v>
      </c>
      <c r="D52" s="15" t="n">
        <v>8</v>
      </c>
      <c r="E52" s="5" t="s">
        <v>167</v>
      </c>
      <c r="F52" s="13" t="s">
        <v>335</v>
      </c>
      <c r="G52" s="5" t="s">
        <v>336</v>
      </c>
      <c r="H52" s="5" t="s">
        <v>337</v>
      </c>
      <c r="I52" s="14" t="s">
        <v>171</v>
      </c>
      <c r="J52" s="5" t="s">
        <v>333</v>
      </c>
      <c r="K52" s="9" t="n">
        <f aca="false">COUNTIF('Indicator links'!$A$2:$A$500,A52)</f>
        <v>2</v>
      </c>
    </row>
    <row r="53" customFormat="false" ht="34.5" hidden="false" customHeight="true" outlineLevel="0" collapsed="false">
      <c r="A53" s="8" t="s">
        <v>338</v>
      </c>
      <c r="B53" s="11" t="s">
        <v>39</v>
      </c>
      <c r="C53" s="11" t="s">
        <v>116</v>
      </c>
      <c r="D53" s="24" t="n">
        <v>10</v>
      </c>
      <c r="E53" s="5" t="s">
        <v>310</v>
      </c>
      <c r="F53" s="13" t="s">
        <v>311</v>
      </c>
      <c r="G53" s="5" t="s">
        <v>312</v>
      </c>
      <c r="H53" s="5" t="s">
        <v>313</v>
      </c>
      <c r="I53" s="14" t="s">
        <v>171</v>
      </c>
      <c r="J53" s="5" t="s">
        <v>339</v>
      </c>
      <c r="K53" s="9" t="n">
        <f aca="false">COUNTIF('Indicator links'!$A$2:$A$500,A53)</f>
        <v>1</v>
      </c>
    </row>
    <row r="54" customFormat="false" ht="23.25" hidden="false" customHeight="true" outlineLevel="0" collapsed="false">
      <c r="A54" s="8" t="s">
        <v>340</v>
      </c>
      <c r="B54" s="11" t="s">
        <v>39</v>
      </c>
      <c r="C54" s="11" t="s">
        <v>116</v>
      </c>
      <c r="D54" s="17" t="n">
        <v>12</v>
      </c>
      <c r="E54" s="5" t="s">
        <v>180</v>
      </c>
      <c r="F54" s="13" t="s">
        <v>274</v>
      </c>
      <c r="G54" s="5" t="s">
        <v>275</v>
      </c>
      <c r="H54" s="5" t="s">
        <v>276</v>
      </c>
      <c r="I54" s="14" t="s">
        <v>171</v>
      </c>
      <c r="J54" s="5" t="s">
        <v>341</v>
      </c>
      <c r="K54" s="9" t="n">
        <f aca="false">COUNTIF('Indicator links'!$A$2:$A$500,A54)</f>
        <v>1</v>
      </c>
    </row>
    <row r="55" customFormat="false" ht="23.25" hidden="false" customHeight="true" outlineLevel="0" collapsed="false">
      <c r="A55" s="8" t="s">
        <v>342</v>
      </c>
      <c r="B55" s="11" t="s">
        <v>39</v>
      </c>
      <c r="C55" s="11" t="s">
        <v>116</v>
      </c>
      <c r="D55" s="18" t="n">
        <v>16</v>
      </c>
      <c r="E55" s="5" t="s">
        <v>193</v>
      </c>
      <c r="F55" s="13" t="s">
        <v>130</v>
      </c>
      <c r="G55" s="5" t="s">
        <v>194</v>
      </c>
      <c r="H55" s="5" t="s">
        <v>195</v>
      </c>
      <c r="I55" s="14" t="s">
        <v>171</v>
      </c>
      <c r="J55" s="5" t="s">
        <v>343</v>
      </c>
      <c r="K55" s="9" t="n">
        <f aca="false">COUNTIF('Indicator links'!$A$2:$A$500,A55)</f>
        <v>2</v>
      </c>
    </row>
    <row r="56" customFormat="false" ht="23.25" hidden="false" customHeight="true" outlineLevel="0" collapsed="false">
      <c r="A56" s="8" t="s">
        <v>344</v>
      </c>
      <c r="B56" s="11" t="s">
        <v>39</v>
      </c>
      <c r="C56" s="11" t="s">
        <v>116</v>
      </c>
      <c r="D56" s="18" t="n">
        <v>16</v>
      </c>
      <c r="E56" s="5" t="s">
        <v>193</v>
      </c>
      <c r="F56" s="13" t="s">
        <v>326</v>
      </c>
      <c r="G56" s="5" t="s">
        <v>327</v>
      </c>
      <c r="H56" s="5" t="s">
        <v>328</v>
      </c>
      <c r="I56" s="14" t="s">
        <v>171</v>
      </c>
      <c r="J56" s="5" t="s">
        <v>343</v>
      </c>
      <c r="K56" s="9" t="n">
        <f aca="false">COUNTIF('Indicator links'!$A$2:$A$500,A56)</f>
        <v>2</v>
      </c>
    </row>
    <row r="57" customFormat="false" ht="23.25" hidden="false" customHeight="true" outlineLevel="0" collapsed="false">
      <c r="A57" s="8" t="s">
        <v>345</v>
      </c>
      <c r="B57" s="11" t="s">
        <v>42</v>
      </c>
      <c r="C57" s="11" t="s">
        <v>125</v>
      </c>
      <c r="D57" s="18" t="n">
        <v>16</v>
      </c>
      <c r="E57" s="5" t="s">
        <v>193</v>
      </c>
      <c r="F57" s="13" t="s">
        <v>130</v>
      </c>
      <c r="G57" s="5" t="s">
        <v>194</v>
      </c>
      <c r="H57" s="5" t="s">
        <v>195</v>
      </c>
      <c r="I57" s="14" t="s">
        <v>157</v>
      </c>
      <c r="J57" s="5"/>
      <c r="K57" s="9" t="n">
        <f aca="false">COUNTIF('Indicator links'!$A$2:$A$500,A57)</f>
        <v>2</v>
      </c>
    </row>
    <row r="58" customFormat="false" ht="34.5" hidden="false" customHeight="true" outlineLevel="0" collapsed="false">
      <c r="A58" s="8" t="s">
        <v>346</v>
      </c>
      <c r="B58" s="11" t="s">
        <v>42</v>
      </c>
      <c r="C58" s="11" t="s">
        <v>125</v>
      </c>
      <c r="D58" s="19" t="n">
        <v>17</v>
      </c>
      <c r="E58" s="5" t="s">
        <v>203</v>
      </c>
      <c r="F58" s="13" t="s">
        <v>347</v>
      </c>
      <c r="G58" s="5" t="s">
        <v>348</v>
      </c>
      <c r="H58" s="5" t="s">
        <v>349</v>
      </c>
      <c r="I58" s="14" t="s">
        <v>171</v>
      </c>
      <c r="J58" s="5" t="s">
        <v>350</v>
      </c>
      <c r="K58" s="9" t="n">
        <f aca="false">COUNTIF('Indicator links'!$A$2:$A$500,A58)</f>
        <v>2</v>
      </c>
    </row>
    <row r="59" customFormat="false" ht="15" hidden="false" customHeight="true" outlineLevel="0" collapsed="false">
      <c r="A59" s="8" t="s">
        <v>351</v>
      </c>
      <c r="B59" s="11" t="s">
        <v>42</v>
      </c>
      <c r="C59" s="11" t="s">
        <v>125</v>
      </c>
      <c r="D59" s="19" t="n">
        <v>17</v>
      </c>
      <c r="E59" s="5" t="s">
        <v>203</v>
      </c>
      <c r="F59" s="13" t="s">
        <v>352</v>
      </c>
      <c r="G59" s="5" t="s">
        <v>353</v>
      </c>
      <c r="H59" s="5" t="s">
        <v>354</v>
      </c>
      <c r="I59" s="14" t="s">
        <v>171</v>
      </c>
      <c r="J59" s="5" t="s">
        <v>355</v>
      </c>
      <c r="K59" s="9" t="n">
        <f aca="false">COUNTIF('Indicator links'!$A$2:$A$500,A59)</f>
        <v>2</v>
      </c>
    </row>
    <row r="60" customFormat="false" ht="45.75" hidden="false" customHeight="true" outlineLevel="0" collapsed="false">
      <c r="A60" s="8" t="s">
        <v>356</v>
      </c>
      <c r="B60" s="11" t="s">
        <v>42</v>
      </c>
      <c r="C60" s="11" t="s">
        <v>125</v>
      </c>
      <c r="D60" s="19" t="n">
        <v>17</v>
      </c>
      <c r="E60" s="5" t="s">
        <v>203</v>
      </c>
      <c r="F60" s="13" t="s">
        <v>357</v>
      </c>
      <c r="G60" s="5" t="s">
        <v>358</v>
      </c>
      <c r="H60" s="5" t="s">
        <v>359</v>
      </c>
      <c r="I60" s="14" t="s">
        <v>171</v>
      </c>
      <c r="J60" s="5" t="s">
        <v>360</v>
      </c>
      <c r="K60" s="9" t="n">
        <f aca="false">COUNTIF('Indicator links'!$A$2:$A$500,A60)</f>
        <v>1</v>
      </c>
    </row>
    <row r="61" customFormat="false" ht="15" hidden="false" customHeight="true" outlineLevel="0" collapsed="false">
      <c r="A61" s="8" t="s">
        <v>361</v>
      </c>
      <c r="B61" s="11" t="s">
        <v>42</v>
      </c>
      <c r="C61" s="11" t="s">
        <v>125</v>
      </c>
      <c r="D61" s="19" t="n">
        <v>17</v>
      </c>
      <c r="E61" s="5" t="s">
        <v>203</v>
      </c>
      <c r="F61" s="13" t="s">
        <v>259</v>
      </c>
      <c r="G61" s="5" t="s">
        <v>260</v>
      </c>
      <c r="H61" s="5" t="s">
        <v>261</v>
      </c>
      <c r="I61" s="14" t="s">
        <v>171</v>
      </c>
      <c r="J61" s="5" t="s">
        <v>262</v>
      </c>
      <c r="K61" s="9" t="n">
        <f aca="false">COUNTIF('Indicator links'!$A$2:$A$500,A61)</f>
        <v>1</v>
      </c>
    </row>
    <row r="62" customFormat="false" ht="23.25" hidden="false" customHeight="true" outlineLevel="0" collapsed="false">
      <c r="A62" s="8" t="s">
        <v>362</v>
      </c>
      <c r="B62" s="11" t="s">
        <v>42</v>
      </c>
      <c r="C62" s="11" t="s">
        <v>134</v>
      </c>
      <c r="D62" s="18" t="n">
        <v>16</v>
      </c>
      <c r="E62" s="5" t="s">
        <v>193</v>
      </c>
      <c r="F62" s="13" t="s">
        <v>130</v>
      </c>
      <c r="G62" s="5" t="s">
        <v>194</v>
      </c>
      <c r="H62" s="5" t="s">
        <v>195</v>
      </c>
      <c r="I62" s="14" t="s">
        <v>157</v>
      </c>
      <c r="J62" s="5"/>
      <c r="K62" s="9" t="n">
        <f aca="false">COUNTIF('Indicator links'!$A$2:$A$500,A62)</f>
        <v>2</v>
      </c>
    </row>
    <row r="63" customFormat="false" ht="23.25" hidden="false" customHeight="true" outlineLevel="0" collapsed="false">
      <c r="A63" s="8" t="s">
        <v>363</v>
      </c>
      <c r="B63" s="11" t="s">
        <v>42</v>
      </c>
      <c r="C63" s="11" t="s">
        <v>134</v>
      </c>
      <c r="D63" s="18" t="n">
        <v>16</v>
      </c>
      <c r="E63" s="5" t="s">
        <v>193</v>
      </c>
      <c r="F63" s="13" t="s">
        <v>326</v>
      </c>
      <c r="G63" s="5" t="s">
        <v>327</v>
      </c>
      <c r="H63" s="5" t="s">
        <v>328</v>
      </c>
      <c r="I63" s="14" t="s">
        <v>157</v>
      </c>
      <c r="J63" s="5"/>
      <c r="K63" s="9" t="n">
        <f aca="false">COUNTIF('Indicator links'!$A$2:$A$500,A63)</f>
        <v>2</v>
      </c>
    </row>
    <row r="64" customFormat="false" ht="45.75" hidden="false" customHeight="true" outlineLevel="0" collapsed="false">
      <c r="A64" s="8" t="s">
        <v>364</v>
      </c>
      <c r="B64" s="11" t="s">
        <v>42</v>
      </c>
      <c r="C64" s="11" t="s">
        <v>134</v>
      </c>
      <c r="D64" s="15" t="n">
        <v>8</v>
      </c>
      <c r="E64" s="5" t="s">
        <v>167</v>
      </c>
      <c r="F64" s="13" t="s">
        <v>278</v>
      </c>
      <c r="G64" s="5" t="s">
        <v>279</v>
      </c>
      <c r="H64" s="5" t="s">
        <v>280</v>
      </c>
      <c r="I64" s="14" t="s">
        <v>171</v>
      </c>
      <c r="J64" s="5" t="s">
        <v>365</v>
      </c>
      <c r="K64" s="9" t="n">
        <f aca="false">COUNTIF('Indicator links'!$A$2:$A$500,A64)</f>
        <v>1</v>
      </c>
    </row>
    <row r="65" customFormat="false" ht="34.5" hidden="false" customHeight="true" outlineLevel="0" collapsed="false">
      <c r="A65" s="8" t="s">
        <v>366</v>
      </c>
      <c r="B65" s="11" t="s">
        <v>42</v>
      </c>
      <c r="C65" s="11" t="s">
        <v>134</v>
      </c>
      <c r="D65" s="24" t="n">
        <v>10</v>
      </c>
      <c r="E65" s="5" t="s">
        <v>310</v>
      </c>
      <c r="F65" s="13" t="s">
        <v>311</v>
      </c>
      <c r="G65" s="5" t="s">
        <v>312</v>
      </c>
      <c r="H65" s="5" t="s">
        <v>313</v>
      </c>
      <c r="I65" s="14" t="s">
        <v>171</v>
      </c>
      <c r="J65" s="5" t="s">
        <v>339</v>
      </c>
      <c r="K65" s="9" t="n">
        <f aca="false">COUNTIF('Indicator links'!$A$2:$A$500,A65)</f>
        <v>1</v>
      </c>
    </row>
    <row r="66" customFormat="false" ht="23.25" hidden="false" customHeight="true" outlineLevel="0" collapsed="false">
      <c r="A66" s="8" t="s">
        <v>367</v>
      </c>
      <c r="B66" s="11" t="s">
        <v>42</v>
      </c>
      <c r="C66" s="11" t="s">
        <v>134</v>
      </c>
      <c r="D66" s="16" t="n">
        <v>11</v>
      </c>
      <c r="E66" s="5" t="s">
        <v>174</v>
      </c>
      <c r="F66" s="13" t="s">
        <v>251</v>
      </c>
      <c r="G66" s="5" t="s">
        <v>252</v>
      </c>
      <c r="H66" s="5" t="s">
        <v>253</v>
      </c>
      <c r="I66" s="14" t="s">
        <v>171</v>
      </c>
      <c r="J66" s="5" t="s">
        <v>368</v>
      </c>
      <c r="K66" s="9" t="n">
        <f aca="false">COUNTIF('Indicator links'!$A$2:$A$500,A66)</f>
        <v>1</v>
      </c>
    </row>
    <row r="67" customFormat="false" ht="15" hidden="false" customHeight="true" outlineLevel="0" collapsed="false">
      <c r="A67" s="8" t="s">
        <v>369</v>
      </c>
      <c r="B67" s="11" t="s">
        <v>42</v>
      </c>
      <c r="C67" s="11" t="s">
        <v>134</v>
      </c>
      <c r="D67" s="19" t="n">
        <v>17</v>
      </c>
      <c r="E67" s="5" t="s">
        <v>203</v>
      </c>
      <c r="F67" s="13" t="s">
        <v>259</v>
      </c>
      <c r="G67" s="5" t="s">
        <v>260</v>
      </c>
      <c r="H67" s="5" t="s">
        <v>261</v>
      </c>
      <c r="I67" s="14" t="s">
        <v>171</v>
      </c>
      <c r="J67" s="5" t="s">
        <v>262</v>
      </c>
      <c r="K67" s="9" t="n">
        <f aca="false">COUNTIF('Indicator links'!$A$2:$A$500,A67)</f>
        <v>1</v>
      </c>
    </row>
  </sheetData>
  <autoFilter ref="A1:K67"/>
  <conditionalFormatting sqref="I2:I67">
    <cfRule type="cellIs" priority="2" operator="equal" aboveAverage="0" equalAverage="0" bottom="0" percent="0" rank="0" text="" dxfId="15">
      <formula>"Primary"</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6"/>
    <col collapsed="false" customWidth="true" hidden="false" outlineLevel="0" max="4" min="4" style="1" width="8"/>
    <col collapsed="false" customWidth="true" hidden="false" outlineLevel="0" max="5" min="5" style="1" width="10"/>
    <col collapsed="false" customWidth="true" hidden="false" outlineLevel="0" max="6" min="6" style="1" width="80"/>
    <col collapsed="false" customWidth="true" hidden="false" outlineLevel="0" max="7" min="7" style="1" width="11"/>
    <col collapsed="false" customWidth="true" hidden="false" outlineLevel="0" max="8" min="8" style="1" width="16"/>
  </cols>
  <sheetData>
    <row r="1" customFormat="false" ht="30" hidden="false" customHeight="true" outlineLevel="0" collapsed="false">
      <c r="A1" s="6" t="s">
        <v>143</v>
      </c>
      <c r="B1" s="6" t="s">
        <v>46</v>
      </c>
      <c r="C1" s="7" t="s">
        <v>144</v>
      </c>
      <c r="D1" s="7" t="s">
        <v>146</v>
      </c>
      <c r="E1" s="7" t="s">
        <v>370</v>
      </c>
      <c r="F1" s="6" t="s">
        <v>371</v>
      </c>
      <c r="G1" s="7" t="s">
        <v>149</v>
      </c>
      <c r="H1" s="6" t="s">
        <v>372</v>
      </c>
    </row>
    <row r="2" customFormat="false" ht="15" hidden="false" customHeight="true" outlineLevel="0" collapsed="false">
      <c r="A2" s="11" t="s">
        <v>152</v>
      </c>
      <c r="B2" s="11" t="s">
        <v>53</v>
      </c>
      <c r="C2" s="12" t="n">
        <v>9</v>
      </c>
      <c r="D2" s="13" t="s">
        <v>154</v>
      </c>
      <c r="E2" s="13" t="s">
        <v>373</v>
      </c>
      <c r="F2" s="5" t="s">
        <v>374</v>
      </c>
      <c r="G2" s="9" t="s">
        <v>157</v>
      </c>
      <c r="H2" s="11"/>
    </row>
    <row r="3" customFormat="false" ht="15" hidden="false" customHeight="true" outlineLevel="0" collapsed="false">
      <c r="A3" s="11" t="s">
        <v>152</v>
      </c>
      <c r="B3" s="11" t="s">
        <v>53</v>
      </c>
      <c r="C3" s="12" t="n">
        <v>9</v>
      </c>
      <c r="D3" s="13" t="s">
        <v>154</v>
      </c>
      <c r="E3" s="13" t="s">
        <v>375</v>
      </c>
      <c r="F3" s="5" t="s">
        <v>376</v>
      </c>
      <c r="G3" s="9" t="s">
        <v>157</v>
      </c>
      <c r="H3" s="11"/>
    </row>
    <row r="4" customFormat="false" ht="15" hidden="false" customHeight="true" outlineLevel="0" collapsed="false">
      <c r="A4" s="11" t="s">
        <v>158</v>
      </c>
      <c r="B4" s="11" t="s">
        <v>53</v>
      </c>
      <c r="C4" s="12" t="n">
        <v>9</v>
      </c>
      <c r="D4" s="13" t="s">
        <v>159</v>
      </c>
      <c r="E4" s="13" t="s">
        <v>377</v>
      </c>
      <c r="F4" s="5" t="s">
        <v>378</v>
      </c>
      <c r="G4" s="9" t="s">
        <v>157</v>
      </c>
      <c r="H4" s="11"/>
    </row>
    <row r="5" customFormat="false" ht="15" hidden="false" customHeight="true" outlineLevel="0" collapsed="false">
      <c r="A5" s="11" t="s">
        <v>162</v>
      </c>
      <c r="B5" s="11" t="s">
        <v>53</v>
      </c>
      <c r="C5" s="12" t="n">
        <v>9</v>
      </c>
      <c r="D5" s="13" t="s">
        <v>163</v>
      </c>
      <c r="E5" s="13" t="s">
        <v>379</v>
      </c>
      <c r="F5" s="5" t="s">
        <v>380</v>
      </c>
      <c r="G5" s="9" t="s">
        <v>157</v>
      </c>
      <c r="H5" s="11"/>
    </row>
    <row r="6" customFormat="false" ht="15" hidden="false" customHeight="true" outlineLevel="0" collapsed="false">
      <c r="A6" s="11" t="s">
        <v>162</v>
      </c>
      <c r="B6" s="11" t="s">
        <v>53</v>
      </c>
      <c r="C6" s="12" t="n">
        <v>9</v>
      </c>
      <c r="D6" s="13" t="s">
        <v>163</v>
      </c>
      <c r="E6" s="13" t="s">
        <v>381</v>
      </c>
      <c r="F6" s="5" t="s">
        <v>382</v>
      </c>
      <c r="G6" s="9" t="s">
        <v>157</v>
      </c>
      <c r="H6" s="11"/>
    </row>
    <row r="7" customFormat="false" ht="15" hidden="false" customHeight="true" outlineLevel="0" collapsed="false">
      <c r="A7" s="11" t="s">
        <v>166</v>
      </c>
      <c r="B7" s="11" t="s">
        <v>53</v>
      </c>
      <c r="C7" s="15" t="n">
        <v>8</v>
      </c>
      <c r="D7" s="13" t="s">
        <v>168</v>
      </c>
      <c r="E7" s="13" t="s">
        <v>383</v>
      </c>
      <c r="F7" s="5" t="s">
        <v>384</v>
      </c>
      <c r="G7" s="9" t="s">
        <v>171</v>
      </c>
      <c r="H7" s="11"/>
    </row>
    <row r="8" customFormat="false" ht="15" hidden="false" customHeight="true" outlineLevel="0" collapsed="false">
      <c r="A8" s="11" t="s">
        <v>173</v>
      </c>
      <c r="B8" s="11" t="s">
        <v>53</v>
      </c>
      <c r="C8" s="16" t="n">
        <v>11</v>
      </c>
      <c r="D8" s="13" t="s">
        <v>175</v>
      </c>
      <c r="E8" s="13" t="s">
        <v>385</v>
      </c>
      <c r="F8" s="5" t="s">
        <v>386</v>
      </c>
      <c r="G8" s="9" t="s">
        <v>171</v>
      </c>
      <c r="H8" s="11"/>
    </row>
    <row r="9" customFormat="false" ht="23.25" hidden="false" customHeight="true" outlineLevel="0" collapsed="false">
      <c r="A9" s="11" t="s">
        <v>173</v>
      </c>
      <c r="B9" s="11" t="s">
        <v>53</v>
      </c>
      <c r="C9" s="16" t="n">
        <v>11</v>
      </c>
      <c r="D9" s="13" t="s">
        <v>175</v>
      </c>
      <c r="E9" s="13" t="s">
        <v>387</v>
      </c>
      <c r="F9" s="5" t="s">
        <v>388</v>
      </c>
      <c r="G9" s="9" t="s">
        <v>171</v>
      </c>
      <c r="H9" s="11"/>
    </row>
    <row r="10" customFormat="false" ht="15" hidden="false" customHeight="true" outlineLevel="0" collapsed="false">
      <c r="A10" s="11" t="s">
        <v>179</v>
      </c>
      <c r="B10" s="11" t="s">
        <v>53</v>
      </c>
      <c r="C10" s="17" t="n">
        <v>12</v>
      </c>
      <c r="D10" s="13" t="s">
        <v>181</v>
      </c>
      <c r="E10" s="13" t="s">
        <v>389</v>
      </c>
      <c r="F10" s="5" t="s">
        <v>390</v>
      </c>
      <c r="G10" s="9" t="s">
        <v>171</v>
      </c>
      <c r="H10" s="11" t="s">
        <v>391</v>
      </c>
    </row>
    <row r="11" customFormat="false" ht="23.25" hidden="false" customHeight="true" outlineLevel="0" collapsed="false">
      <c r="A11" s="11" t="s">
        <v>179</v>
      </c>
      <c r="B11" s="11" t="s">
        <v>53</v>
      </c>
      <c r="C11" s="17" t="n">
        <v>12</v>
      </c>
      <c r="D11" s="13" t="s">
        <v>181</v>
      </c>
      <c r="E11" s="13" t="s">
        <v>392</v>
      </c>
      <c r="F11" s="5" t="s">
        <v>393</v>
      </c>
      <c r="G11" s="9" t="s">
        <v>171</v>
      </c>
      <c r="H11" s="11" t="s">
        <v>394</v>
      </c>
    </row>
    <row r="12" customFormat="false" ht="15" hidden="false" customHeight="true" outlineLevel="0" collapsed="false">
      <c r="A12" s="11" t="s">
        <v>185</v>
      </c>
      <c r="B12" s="11" t="s">
        <v>62</v>
      </c>
      <c r="C12" s="12" t="n">
        <v>9</v>
      </c>
      <c r="D12" s="13" t="s">
        <v>163</v>
      </c>
      <c r="E12" s="13" t="s">
        <v>379</v>
      </c>
      <c r="F12" s="5" t="s">
        <v>380</v>
      </c>
      <c r="G12" s="9" t="s">
        <v>157</v>
      </c>
      <c r="H12" s="11"/>
    </row>
    <row r="13" customFormat="false" ht="15" hidden="false" customHeight="true" outlineLevel="0" collapsed="false">
      <c r="A13" s="11" t="s">
        <v>185</v>
      </c>
      <c r="B13" s="11" t="s">
        <v>62</v>
      </c>
      <c r="C13" s="12" t="n">
        <v>9</v>
      </c>
      <c r="D13" s="13" t="s">
        <v>163</v>
      </c>
      <c r="E13" s="13" t="s">
        <v>381</v>
      </c>
      <c r="F13" s="5" t="s">
        <v>382</v>
      </c>
      <c r="G13" s="9" t="s">
        <v>157</v>
      </c>
      <c r="H13" s="11"/>
    </row>
    <row r="14" customFormat="false" ht="15" hidden="false" customHeight="true" outlineLevel="0" collapsed="false">
      <c r="A14" s="11" t="s">
        <v>186</v>
      </c>
      <c r="B14" s="11" t="s">
        <v>62</v>
      </c>
      <c r="C14" s="12" t="n">
        <v>9</v>
      </c>
      <c r="D14" s="13" t="s">
        <v>187</v>
      </c>
      <c r="E14" s="13" t="s">
        <v>395</v>
      </c>
      <c r="F14" s="5" t="s">
        <v>396</v>
      </c>
      <c r="G14" s="9" t="s">
        <v>157</v>
      </c>
      <c r="H14" s="11"/>
    </row>
    <row r="15" customFormat="false" ht="15" hidden="false" customHeight="true" outlineLevel="0" collapsed="false">
      <c r="A15" s="11" t="s">
        <v>190</v>
      </c>
      <c r="B15" s="11" t="s">
        <v>62</v>
      </c>
      <c r="C15" s="15" t="n">
        <v>8</v>
      </c>
      <c r="D15" s="13" t="s">
        <v>168</v>
      </c>
      <c r="E15" s="13" t="s">
        <v>383</v>
      </c>
      <c r="F15" s="5" t="s">
        <v>384</v>
      </c>
      <c r="G15" s="9" t="s">
        <v>171</v>
      </c>
      <c r="H15" s="11"/>
    </row>
    <row r="16" customFormat="false" ht="23.25" hidden="false" customHeight="true" outlineLevel="0" collapsed="false">
      <c r="A16" s="11" t="s">
        <v>192</v>
      </c>
      <c r="B16" s="11" t="s">
        <v>62</v>
      </c>
      <c r="C16" s="18" t="n">
        <v>16</v>
      </c>
      <c r="D16" s="13" t="s">
        <v>130</v>
      </c>
      <c r="E16" s="13" t="s">
        <v>397</v>
      </c>
      <c r="F16" s="5" t="s">
        <v>398</v>
      </c>
      <c r="G16" s="9" t="s">
        <v>171</v>
      </c>
      <c r="H16" s="11"/>
    </row>
    <row r="17" customFormat="false" ht="15" hidden="false" customHeight="true" outlineLevel="0" collapsed="false">
      <c r="A17" s="11" t="s">
        <v>192</v>
      </c>
      <c r="B17" s="11" t="s">
        <v>62</v>
      </c>
      <c r="C17" s="18" t="n">
        <v>16</v>
      </c>
      <c r="D17" s="13" t="s">
        <v>130</v>
      </c>
      <c r="E17" s="13" t="s">
        <v>399</v>
      </c>
      <c r="F17" s="5" t="s">
        <v>400</v>
      </c>
      <c r="G17" s="9" t="s">
        <v>171</v>
      </c>
      <c r="H17" s="11"/>
    </row>
    <row r="18" customFormat="false" ht="34.5" hidden="false" customHeight="true" outlineLevel="0" collapsed="false">
      <c r="A18" s="11" t="s">
        <v>197</v>
      </c>
      <c r="B18" s="11" t="s">
        <v>62</v>
      </c>
      <c r="C18" s="18" t="n">
        <v>16</v>
      </c>
      <c r="D18" s="13" t="s">
        <v>198</v>
      </c>
      <c r="E18" s="13" t="s">
        <v>401</v>
      </c>
      <c r="F18" s="5" t="s">
        <v>402</v>
      </c>
      <c r="G18" s="9" t="s">
        <v>171</v>
      </c>
      <c r="H18" s="11"/>
    </row>
    <row r="19" customFormat="false" ht="23.25" hidden="false" customHeight="true" outlineLevel="0" collapsed="false">
      <c r="A19" s="11" t="s">
        <v>197</v>
      </c>
      <c r="B19" s="11" t="s">
        <v>62</v>
      </c>
      <c r="C19" s="18" t="n">
        <v>16</v>
      </c>
      <c r="D19" s="13" t="s">
        <v>198</v>
      </c>
      <c r="E19" s="13" t="s">
        <v>403</v>
      </c>
      <c r="F19" s="5" t="s">
        <v>404</v>
      </c>
      <c r="G19" s="9" t="s">
        <v>171</v>
      </c>
      <c r="H19" s="11"/>
    </row>
    <row r="20" customFormat="false" ht="15" hidden="false" customHeight="true" outlineLevel="0" collapsed="false">
      <c r="A20" s="11" t="s">
        <v>202</v>
      </c>
      <c r="B20" s="11" t="s">
        <v>62</v>
      </c>
      <c r="C20" s="19" t="n">
        <v>17</v>
      </c>
      <c r="D20" s="13" t="s">
        <v>204</v>
      </c>
      <c r="E20" s="13" t="s">
        <v>405</v>
      </c>
      <c r="F20" s="5" t="s">
        <v>406</v>
      </c>
      <c r="G20" s="9" t="s">
        <v>171</v>
      </c>
      <c r="H20" s="11"/>
    </row>
    <row r="21" customFormat="false" ht="15" hidden="false" customHeight="true" outlineLevel="0" collapsed="false">
      <c r="A21" s="11" t="s">
        <v>208</v>
      </c>
      <c r="B21" s="11" t="s">
        <v>71</v>
      </c>
      <c r="C21" s="12" t="n">
        <v>9</v>
      </c>
      <c r="D21" s="13" t="s">
        <v>154</v>
      </c>
      <c r="E21" s="13" t="s">
        <v>373</v>
      </c>
      <c r="F21" s="5" t="s">
        <v>374</v>
      </c>
      <c r="G21" s="9" t="s">
        <v>157</v>
      </c>
      <c r="H21" s="11"/>
    </row>
    <row r="22" customFormat="false" ht="15" hidden="false" customHeight="true" outlineLevel="0" collapsed="false">
      <c r="A22" s="11" t="s">
        <v>208</v>
      </c>
      <c r="B22" s="11" t="s">
        <v>71</v>
      </c>
      <c r="C22" s="12" t="n">
        <v>9</v>
      </c>
      <c r="D22" s="13" t="s">
        <v>154</v>
      </c>
      <c r="E22" s="13" t="s">
        <v>375</v>
      </c>
      <c r="F22" s="5" t="s">
        <v>376</v>
      </c>
      <c r="G22" s="9" t="s">
        <v>157</v>
      </c>
      <c r="H22" s="11"/>
    </row>
    <row r="23" customFormat="false" ht="23.25" hidden="false" customHeight="true" outlineLevel="0" collapsed="false">
      <c r="A23" s="11" t="s">
        <v>209</v>
      </c>
      <c r="B23" s="11" t="s">
        <v>71</v>
      </c>
      <c r="C23" s="20" t="n">
        <v>13</v>
      </c>
      <c r="D23" s="13" t="s">
        <v>211</v>
      </c>
      <c r="E23" s="13" t="s">
        <v>407</v>
      </c>
      <c r="F23" s="5" t="s">
        <v>408</v>
      </c>
      <c r="G23" s="9" t="s">
        <v>157</v>
      </c>
      <c r="H23" s="11" t="s">
        <v>409</v>
      </c>
    </row>
    <row r="24" customFormat="false" ht="23.25" hidden="false" customHeight="true" outlineLevel="0" collapsed="false">
      <c r="A24" s="11" t="s">
        <v>209</v>
      </c>
      <c r="B24" s="11" t="s">
        <v>71</v>
      </c>
      <c r="C24" s="20" t="n">
        <v>13</v>
      </c>
      <c r="D24" s="13" t="s">
        <v>211</v>
      </c>
      <c r="E24" s="13" t="s">
        <v>410</v>
      </c>
      <c r="F24" s="5" t="s">
        <v>411</v>
      </c>
      <c r="G24" s="9" t="s">
        <v>157</v>
      </c>
      <c r="H24" s="11" t="s">
        <v>412</v>
      </c>
    </row>
    <row r="25" customFormat="false" ht="23.25" hidden="false" customHeight="true" outlineLevel="0" collapsed="false">
      <c r="A25" s="11" t="s">
        <v>209</v>
      </c>
      <c r="B25" s="11" t="s">
        <v>71</v>
      </c>
      <c r="C25" s="20" t="n">
        <v>13</v>
      </c>
      <c r="D25" s="13" t="s">
        <v>211</v>
      </c>
      <c r="E25" s="13" t="s">
        <v>413</v>
      </c>
      <c r="F25" s="5" t="s">
        <v>414</v>
      </c>
      <c r="G25" s="9" t="s">
        <v>157</v>
      </c>
      <c r="H25" s="11" t="s">
        <v>415</v>
      </c>
    </row>
    <row r="26" customFormat="false" ht="23.25" hidden="false" customHeight="true" outlineLevel="0" collapsed="false">
      <c r="A26" s="11" t="s">
        <v>214</v>
      </c>
      <c r="B26" s="11" t="s">
        <v>71</v>
      </c>
      <c r="C26" s="20" t="n">
        <v>13</v>
      </c>
      <c r="D26" s="13" t="s">
        <v>215</v>
      </c>
      <c r="E26" s="13" t="s">
        <v>416</v>
      </c>
      <c r="F26" s="5" t="s">
        <v>417</v>
      </c>
      <c r="G26" s="9" t="s">
        <v>157</v>
      </c>
      <c r="H26" s="11"/>
    </row>
    <row r="27" customFormat="false" ht="15" hidden="false" customHeight="true" outlineLevel="0" collapsed="false">
      <c r="A27" s="11" t="s">
        <v>214</v>
      </c>
      <c r="B27" s="11" t="s">
        <v>71</v>
      </c>
      <c r="C27" s="20" t="n">
        <v>13</v>
      </c>
      <c r="D27" s="13" t="s">
        <v>215</v>
      </c>
      <c r="E27" s="13" t="s">
        <v>418</v>
      </c>
      <c r="F27" s="5" t="s">
        <v>419</v>
      </c>
      <c r="G27" s="9" t="s">
        <v>157</v>
      </c>
      <c r="H27" s="11"/>
    </row>
    <row r="28" customFormat="false" ht="15" hidden="false" customHeight="true" outlineLevel="0" collapsed="false">
      <c r="A28" s="11" t="s">
        <v>218</v>
      </c>
      <c r="B28" s="11" t="s">
        <v>71</v>
      </c>
      <c r="C28" s="21" t="n">
        <v>6</v>
      </c>
      <c r="D28" s="13" t="s">
        <v>220</v>
      </c>
      <c r="E28" s="13" t="s">
        <v>420</v>
      </c>
      <c r="F28" s="5" t="s">
        <v>421</v>
      </c>
      <c r="G28" s="9" t="s">
        <v>171</v>
      </c>
      <c r="H28" s="11"/>
    </row>
    <row r="29" customFormat="false" ht="15" hidden="false" customHeight="true" outlineLevel="0" collapsed="false">
      <c r="A29" s="11" t="s">
        <v>218</v>
      </c>
      <c r="B29" s="11" t="s">
        <v>71</v>
      </c>
      <c r="C29" s="21" t="n">
        <v>6</v>
      </c>
      <c r="D29" s="13" t="s">
        <v>220</v>
      </c>
      <c r="E29" s="13" t="s">
        <v>422</v>
      </c>
      <c r="F29" s="5" t="s">
        <v>423</v>
      </c>
      <c r="G29" s="9" t="s">
        <v>171</v>
      </c>
      <c r="H29" s="11"/>
    </row>
    <row r="30" customFormat="false" ht="15" hidden="false" customHeight="true" outlineLevel="0" collapsed="false">
      <c r="A30" s="11" t="s">
        <v>224</v>
      </c>
      <c r="B30" s="11" t="s">
        <v>71</v>
      </c>
      <c r="C30" s="21" t="n">
        <v>6</v>
      </c>
      <c r="D30" s="13" t="s">
        <v>225</v>
      </c>
      <c r="E30" s="13" t="s">
        <v>424</v>
      </c>
      <c r="F30" s="5" t="s">
        <v>425</v>
      </c>
      <c r="G30" s="9" t="s">
        <v>171</v>
      </c>
      <c r="H30" s="11"/>
    </row>
    <row r="31" customFormat="false" ht="15" hidden="false" customHeight="true" outlineLevel="0" collapsed="false">
      <c r="A31" s="11" t="s">
        <v>224</v>
      </c>
      <c r="B31" s="11" t="s">
        <v>71</v>
      </c>
      <c r="C31" s="21" t="n">
        <v>6</v>
      </c>
      <c r="D31" s="13" t="s">
        <v>225</v>
      </c>
      <c r="E31" s="13" t="s">
        <v>426</v>
      </c>
      <c r="F31" s="5" t="s">
        <v>427</v>
      </c>
      <c r="G31" s="9" t="s">
        <v>171</v>
      </c>
      <c r="H31" s="11"/>
    </row>
    <row r="32" customFormat="false" ht="15" hidden="false" customHeight="true" outlineLevel="0" collapsed="false">
      <c r="A32" s="11" t="s">
        <v>228</v>
      </c>
      <c r="B32" s="11" t="s">
        <v>71</v>
      </c>
      <c r="C32" s="22" t="n">
        <v>7</v>
      </c>
      <c r="D32" s="13" t="s">
        <v>230</v>
      </c>
      <c r="E32" s="13" t="s">
        <v>428</v>
      </c>
      <c r="F32" s="5" t="s">
        <v>429</v>
      </c>
      <c r="G32" s="9" t="s">
        <v>171</v>
      </c>
      <c r="H32" s="11"/>
    </row>
    <row r="33" customFormat="false" ht="15" hidden="false" customHeight="true" outlineLevel="0" collapsed="false">
      <c r="A33" s="11" t="s">
        <v>234</v>
      </c>
      <c r="B33" s="11" t="s">
        <v>71</v>
      </c>
      <c r="C33" s="22" t="n">
        <v>7</v>
      </c>
      <c r="D33" s="13" t="s">
        <v>235</v>
      </c>
      <c r="E33" s="13" t="s">
        <v>430</v>
      </c>
      <c r="F33" s="5" t="s">
        <v>431</v>
      </c>
      <c r="G33" s="9" t="s">
        <v>171</v>
      </c>
      <c r="H33" s="11"/>
    </row>
    <row r="34" customFormat="false" ht="23.25" hidden="false" customHeight="true" outlineLevel="0" collapsed="false">
      <c r="A34" s="11" t="s">
        <v>238</v>
      </c>
      <c r="B34" s="11" t="s">
        <v>71</v>
      </c>
      <c r="C34" s="16" t="n">
        <v>11</v>
      </c>
      <c r="D34" s="13" t="s">
        <v>239</v>
      </c>
      <c r="E34" s="13" t="s">
        <v>432</v>
      </c>
      <c r="F34" s="5" t="s">
        <v>408</v>
      </c>
      <c r="G34" s="9" t="s">
        <v>171</v>
      </c>
      <c r="H34" s="11" t="s">
        <v>433</v>
      </c>
    </row>
    <row r="35" customFormat="false" ht="15" hidden="false" customHeight="true" outlineLevel="0" collapsed="false">
      <c r="A35" s="11" t="s">
        <v>238</v>
      </c>
      <c r="B35" s="11" t="s">
        <v>71</v>
      </c>
      <c r="C35" s="16" t="n">
        <v>11</v>
      </c>
      <c r="D35" s="13" t="s">
        <v>239</v>
      </c>
      <c r="E35" s="13" t="s">
        <v>434</v>
      </c>
      <c r="F35" s="5" t="s">
        <v>435</v>
      </c>
      <c r="G35" s="9" t="s">
        <v>171</v>
      </c>
      <c r="H35" s="11" t="s">
        <v>436</v>
      </c>
    </row>
    <row r="36" customFormat="false" ht="23.25" hidden="false" customHeight="true" outlineLevel="0" collapsed="false">
      <c r="A36" s="11" t="s">
        <v>238</v>
      </c>
      <c r="B36" s="11" t="s">
        <v>71</v>
      </c>
      <c r="C36" s="16" t="n">
        <v>11</v>
      </c>
      <c r="D36" s="13" t="s">
        <v>239</v>
      </c>
      <c r="E36" s="13" t="s">
        <v>437</v>
      </c>
      <c r="F36" s="5" t="s">
        <v>438</v>
      </c>
      <c r="G36" s="9" t="s">
        <v>171</v>
      </c>
      <c r="H36" s="11"/>
    </row>
    <row r="37" customFormat="false" ht="23.25" hidden="false" customHeight="true" outlineLevel="0" collapsed="false">
      <c r="A37" s="11" t="s">
        <v>243</v>
      </c>
      <c r="B37" s="11" t="s">
        <v>71</v>
      </c>
      <c r="C37" s="16" t="n">
        <v>11</v>
      </c>
      <c r="D37" s="13" t="s">
        <v>244</v>
      </c>
      <c r="E37" s="13" t="s">
        <v>439</v>
      </c>
      <c r="F37" s="5" t="s">
        <v>411</v>
      </c>
      <c r="G37" s="9" t="s">
        <v>171</v>
      </c>
      <c r="H37" s="11" t="s">
        <v>440</v>
      </c>
    </row>
    <row r="38" customFormat="false" ht="23.25" hidden="false" customHeight="true" outlineLevel="0" collapsed="false">
      <c r="A38" s="11" t="s">
        <v>243</v>
      </c>
      <c r="B38" s="11" t="s">
        <v>71</v>
      </c>
      <c r="C38" s="16" t="n">
        <v>11</v>
      </c>
      <c r="D38" s="13" t="s">
        <v>244</v>
      </c>
      <c r="E38" s="13" t="s">
        <v>441</v>
      </c>
      <c r="F38" s="5" t="s">
        <v>414</v>
      </c>
      <c r="G38" s="9" t="s">
        <v>171</v>
      </c>
      <c r="H38" s="11" t="s">
        <v>442</v>
      </c>
    </row>
    <row r="39" customFormat="false" ht="15" hidden="false" customHeight="true" outlineLevel="0" collapsed="false">
      <c r="A39" s="11" t="s">
        <v>247</v>
      </c>
      <c r="B39" s="11" t="s">
        <v>71</v>
      </c>
      <c r="C39" s="17" t="n">
        <v>12</v>
      </c>
      <c r="D39" s="13" t="s">
        <v>181</v>
      </c>
      <c r="E39" s="13" t="s">
        <v>389</v>
      </c>
      <c r="F39" s="5" t="s">
        <v>390</v>
      </c>
      <c r="G39" s="9" t="s">
        <v>171</v>
      </c>
      <c r="H39" s="11" t="s">
        <v>391</v>
      </c>
    </row>
    <row r="40" customFormat="false" ht="23.25" hidden="false" customHeight="true" outlineLevel="0" collapsed="false">
      <c r="A40" s="11" t="s">
        <v>247</v>
      </c>
      <c r="B40" s="11" t="s">
        <v>71</v>
      </c>
      <c r="C40" s="17" t="n">
        <v>12</v>
      </c>
      <c r="D40" s="13" t="s">
        <v>181</v>
      </c>
      <c r="E40" s="13" t="s">
        <v>392</v>
      </c>
      <c r="F40" s="5" t="s">
        <v>393</v>
      </c>
      <c r="G40" s="9" t="s">
        <v>171</v>
      </c>
      <c r="H40" s="11" t="s">
        <v>394</v>
      </c>
    </row>
    <row r="41" customFormat="false" ht="15" hidden="false" customHeight="true" outlineLevel="0" collapsed="false">
      <c r="A41" s="11" t="s">
        <v>249</v>
      </c>
      <c r="B41" s="11" t="s">
        <v>80</v>
      </c>
      <c r="C41" s="16" t="n">
        <v>11</v>
      </c>
      <c r="D41" s="13" t="s">
        <v>175</v>
      </c>
      <c r="E41" s="13" t="s">
        <v>385</v>
      </c>
      <c r="F41" s="5" t="s">
        <v>386</v>
      </c>
      <c r="G41" s="9" t="s">
        <v>157</v>
      </c>
      <c r="H41" s="11"/>
    </row>
    <row r="42" customFormat="false" ht="23.25" hidden="false" customHeight="true" outlineLevel="0" collapsed="false">
      <c r="A42" s="11" t="s">
        <v>249</v>
      </c>
      <c r="B42" s="11" t="s">
        <v>80</v>
      </c>
      <c r="C42" s="16" t="n">
        <v>11</v>
      </c>
      <c r="D42" s="13" t="s">
        <v>175</v>
      </c>
      <c r="E42" s="13" t="s">
        <v>387</v>
      </c>
      <c r="F42" s="5" t="s">
        <v>388</v>
      </c>
      <c r="G42" s="9" t="s">
        <v>157</v>
      </c>
      <c r="H42" s="11"/>
    </row>
    <row r="43" customFormat="false" ht="34.5" hidden="false" customHeight="true" outlineLevel="0" collapsed="false">
      <c r="A43" s="11" t="s">
        <v>250</v>
      </c>
      <c r="B43" s="11" t="s">
        <v>80</v>
      </c>
      <c r="C43" s="16" t="n">
        <v>11</v>
      </c>
      <c r="D43" s="13" t="s">
        <v>251</v>
      </c>
      <c r="E43" s="13" t="s">
        <v>443</v>
      </c>
      <c r="F43" s="5" t="s">
        <v>444</v>
      </c>
      <c r="G43" s="9" t="s">
        <v>157</v>
      </c>
      <c r="H43" s="11"/>
    </row>
    <row r="44" customFormat="false" ht="15" hidden="false" customHeight="true" outlineLevel="0" collapsed="false">
      <c r="A44" s="11" t="s">
        <v>254</v>
      </c>
      <c r="B44" s="11" t="s">
        <v>80</v>
      </c>
      <c r="C44" s="12" t="n">
        <v>9</v>
      </c>
      <c r="D44" s="13" t="s">
        <v>154</v>
      </c>
      <c r="E44" s="13" t="s">
        <v>373</v>
      </c>
      <c r="F44" s="5" t="s">
        <v>374</v>
      </c>
      <c r="G44" s="9" t="s">
        <v>171</v>
      </c>
      <c r="H44" s="11"/>
    </row>
    <row r="45" customFormat="false" ht="15" hidden="false" customHeight="true" outlineLevel="0" collapsed="false">
      <c r="A45" s="11" t="s">
        <v>254</v>
      </c>
      <c r="B45" s="11" t="s">
        <v>80</v>
      </c>
      <c r="C45" s="12" t="n">
        <v>9</v>
      </c>
      <c r="D45" s="13" t="s">
        <v>154</v>
      </c>
      <c r="E45" s="13" t="s">
        <v>375</v>
      </c>
      <c r="F45" s="5" t="s">
        <v>376</v>
      </c>
      <c r="G45" s="9" t="s">
        <v>171</v>
      </c>
      <c r="H45" s="11"/>
    </row>
    <row r="46" customFormat="false" ht="23.25" hidden="false" customHeight="true" outlineLevel="0" collapsed="false">
      <c r="A46" s="11" t="s">
        <v>256</v>
      </c>
      <c r="B46" s="11" t="s">
        <v>80</v>
      </c>
      <c r="C46" s="20" t="n">
        <v>13</v>
      </c>
      <c r="D46" s="13" t="s">
        <v>215</v>
      </c>
      <c r="E46" s="13" t="s">
        <v>416</v>
      </c>
      <c r="F46" s="5" t="s">
        <v>417</v>
      </c>
      <c r="G46" s="9" t="s">
        <v>171</v>
      </c>
      <c r="H46" s="11"/>
    </row>
    <row r="47" customFormat="false" ht="15" hidden="false" customHeight="true" outlineLevel="0" collapsed="false">
      <c r="A47" s="11" t="s">
        <v>256</v>
      </c>
      <c r="B47" s="11" t="s">
        <v>80</v>
      </c>
      <c r="C47" s="20" t="n">
        <v>13</v>
      </c>
      <c r="D47" s="13" t="s">
        <v>215</v>
      </c>
      <c r="E47" s="13" t="s">
        <v>418</v>
      </c>
      <c r="F47" s="5" t="s">
        <v>419</v>
      </c>
      <c r="G47" s="9" t="s">
        <v>171</v>
      </c>
      <c r="H47" s="11"/>
    </row>
    <row r="48" customFormat="false" ht="23.25" hidden="false" customHeight="true" outlineLevel="0" collapsed="false">
      <c r="A48" s="11" t="s">
        <v>258</v>
      </c>
      <c r="B48" s="11" t="s">
        <v>80</v>
      </c>
      <c r="C48" s="19" t="n">
        <v>17</v>
      </c>
      <c r="D48" s="13" t="s">
        <v>259</v>
      </c>
      <c r="E48" s="13" t="s">
        <v>445</v>
      </c>
      <c r="F48" s="5" t="s">
        <v>446</v>
      </c>
      <c r="G48" s="9" t="s">
        <v>171</v>
      </c>
      <c r="H48" s="11"/>
    </row>
    <row r="49" customFormat="false" ht="23.25" hidden="false" customHeight="true" outlineLevel="0" collapsed="false">
      <c r="A49" s="11" t="s">
        <v>263</v>
      </c>
      <c r="B49" s="11" t="s">
        <v>80</v>
      </c>
      <c r="C49" s="19" t="n">
        <v>17</v>
      </c>
      <c r="D49" s="13" t="s">
        <v>264</v>
      </c>
      <c r="E49" s="13" t="s">
        <v>447</v>
      </c>
      <c r="F49" s="5" t="s">
        <v>448</v>
      </c>
      <c r="G49" s="9" t="s">
        <v>171</v>
      </c>
      <c r="H49" s="11"/>
    </row>
    <row r="50" customFormat="false" ht="15" hidden="false" customHeight="true" outlineLevel="0" collapsed="false">
      <c r="A50" s="11" t="s">
        <v>268</v>
      </c>
      <c r="B50" s="11" t="s">
        <v>80</v>
      </c>
      <c r="C50" s="19" t="n">
        <v>17</v>
      </c>
      <c r="D50" s="13" t="s">
        <v>269</v>
      </c>
      <c r="E50" s="13" t="s">
        <v>449</v>
      </c>
      <c r="F50" s="5" t="s">
        <v>450</v>
      </c>
      <c r="G50" s="9" t="s">
        <v>171</v>
      </c>
      <c r="H50" s="11"/>
    </row>
    <row r="51" customFormat="false" ht="15" hidden="false" customHeight="true" outlineLevel="0" collapsed="false">
      <c r="A51" s="11" t="s">
        <v>272</v>
      </c>
      <c r="B51" s="11" t="s">
        <v>89</v>
      </c>
      <c r="C51" s="17" t="n">
        <v>12</v>
      </c>
      <c r="D51" s="13" t="s">
        <v>181</v>
      </c>
      <c r="E51" s="13" t="s">
        <v>389</v>
      </c>
      <c r="F51" s="5" t="s">
        <v>390</v>
      </c>
      <c r="G51" s="9" t="s">
        <v>157</v>
      </c>
      <c r="H51" s="11" t="s">
        <v>391</v>
      </c>
    </row>
    <row r="52" customFormat="false" ht="23.25" hidden="false" customHeight="true" outlineLevel="0" collapsed="false">
      <c r="A52" s="11" t="s">
        <v>272</v>
      </c>
      <c r="B52" s="11" t="s">
        <v>89</v>
      </c>
      <c r="C52" s="17" t="n">
        <v>12</v>
      </c>
      <c r="D52" s="13" t="s">
        <v>181</v>
      </c>
      <c r="E52" s="13" t="s">
        <v>392</v>
      </c>
      <c r="F52" s="5" t="s">
        <v>393</v>
      </c>
      <c r="G52" s="9" t="s">
        <v>157</v>
      </c>
      <c r="H52" s="11" t="s">
        <v>394</v>
      </c>
    </row>
    <row r="53" customFormat="false" ht="15" hidden="false" customHeight="true" outlineLevel="0" collapsed="false">
      <c r="A53" s="11" t="s">
        <v>273</v>
      </c>
      <c r="B53" s="11" t="s">
        <v>89</v>
      </c>
      <c r="C53" s="17" t="n">
        <v>12</v>
      </c>
      <c r="D53" s="13" t="s">
        <v>274</v>
      </c>
      <c r="E53" s="13" t="s">
        <v>451</v>
      </c>
      <c r="F53" s="5" t="s">
        <v>452</v>
      </c>
      <c r="G53" s="9" t="s">
        <v>157</v>
      </c>
      <c r="H53" s="11"/>
    </row>
    <row r="54" customFormat="false" ht="15" hidden="false" customHeight="true" outlineLevel="0" collapsed="false">
      <c r="A54" s="11" t="s">
        <v>277</v>
      </c>
      <c r="B54" s="11" t="s">
        <v>89</v>
      </c>
      <c r="C54" s="15" t="n">
        <v>8</v>
      </c>
      <c r="D54" s="13" t="s">
        <v>278</v>
      </c>
      <c r="E54" s="13" t="s">
        <v>453</v>
      </c>
      <c r="F54" s="5" t="s">
        <v>454</v>
      </c>
      <c r="G54" s="9" t="s">
        <v>171</v>
      </c>
      <c r="H54" s="11"/>
    </row>
    <row r="55" customFormat="false" ht="15" hidden="false" customHeight="true" outlineLevel="0" collapsed="false">
      <c r="A55" s="11" t="s">
        <v>282</v>
      </c>
      <c r="B55" s="11" t="s">
        <v>89</v>
      </c>
      <c r="C55" s="12" t="n">
        <v>9</v>
      </c>
      <c r="D55" s="13" t="s">
        <v>159</v>
      </c>
      <c r="E55" s="13" t="s">
        <v>377</v>
      </c>
      <c r="F55" s="5" t="s">
        <v>378</v>
      </c>
      <c r="G55" s="9" t="s">
        <v>171</v>
      </c>
      <c r="H55" s="11"/>
    </row>
    <row r="56" customFormat="false" ht="23.25" hidden="false" customHeight="true" outlineLevel="0" collapsed="false">
      <c r="A56" s="11" t="s">
        <v>284</v>
      </c>
      <c r="B56" s="11" t="s">
        <v>89</v>
      </c>
      <c r="C56" s="16" t="n">
        <v>11</v>
      </c>
      <c r="D56" s="13" t="s">
        <v>285</v>
      </c>
      <c r="E56" s="13" t="s">
        <v>455</v>
      </c>
      <c r="F56" s="5" t="s">
        <v>456</v>
      </c>
      <c r="G56" s="9" t="s">
        <v>171</v>
      </c>
      <c r="H56" s="11"/>
    </row>
    <row r="57" customFormat="false" ht="15" hidden="false" customHeight="true" outlineLevel="0" collapsed="false">
      <c r="A57" s="11" t="s">
        <v>284</v>
      </c>
      <c r="B57" s="11" t="s">
        <v>89</v>
      </c>
      <c r="C57" s="16" t="n">
        <v>11</v>
      </c>
      <c r="D57" s="13" t="s">
        <v>285</v>
      </c>
      <c r="E57" s="13" t="s">
        <v>457</v>
      </c>
      <c r="F57" s="5" t="s">
        <v>458</v>
      </c>
      <c r="G57" s="9" t="s">
        <v>171</v>
      </c>
      <c r="H57" s="11"/>
    </row>
    <row r="58" customFormat="false" ht="23.25" hidden="false" customHeight="true" outlineLevel="0" collapsed="false">
      <c r="A58" s="11" t="s">
        <v>289</v>
      </c>
      <c r="B58" s="11" t="s">
        <v>89</v>
      </c>
      <c r="C58" s="20" t="n">
        <v>13</v>
      </c>
      <c r="D58" s="13" t="s">
        <v>215</v>
      </c>
      <c r="E58" s="13" t="s">
        <v>416</v>
      </c>
      <c r="F58" s="5" t="s">
        <v>417</v>
      </c>
      <c r="G58" s="9" t="s">
        <v>171</v>
      </c>
      <c r="H58" s="11"/>
    </row>
    <row r="59" customFormat="false" ht="15" hidden="false" customHeight="true" outlineLevel="0" collapsed="false">
      <c r="A59" s="11" t="s">
        <v>289</v>
      </c>
      <c r="B59" s="11" t="s">
        <v>89</v>
      </c>
      <c r="C59" s="20" t="n">
        <v>13</v>
      </c>
      <c r="D59" s="13" t="s">
        <v>215</v>
      </c>
      <c r="E59" s="13" t="s">
        <v>418</v>
      </c>
      <c r="F59" s="5" t="s">
        <v>419</v>
      </c>
      <c r="G59" s="9" t="s">
        <v>171</v>
      </c>
      <c r="H59" s="11"/>
    </row>
    <row r="60" customFormat="false" ht="15" hidden="false" customHeight="true" outlineLevel="0" collapsed="false">
      <c r="A60" s="11" t="s">
        <v>291</v>
      </c>
      <c r="B60" s="11" t="s">
        <v>98</v>
      </c>
      <c r="C60" s="16" t="n">
        <v>11</v>
      </c>
      <c r="D60" s="13" t="s">
        <v>292</v>
      </c>
      <c r="E60" s="13" t="s">
        <v>459</v>
      </c>
      <c r="F60" s="5" t="s">
        <v>460</v>
      </c>
      <c r="G60" s="9" t="s">
        <v>157</v>
      </c>
      <c r="H60" s="11"/>
    </row>
    <row r="61" customFormat="false" ht="23.25" hidden="false" customHeight="true" outlineLevel="0" collapsed="false">
      <c r="A61" s="11" t="s">
        <v>295</v>
      </c>
      <c r="B61" s="11" t="s">
        <v>98</v>
      </c>
      <c r="C61" s="16" t="n">
        <v>11</v>
      </c>
      <c r="D61" s="13" t="s">
        <v>296</v>
      </c>
      <c r="E61" s="13" t="s">
        <v>461</v>
      </c>
      <c r="F61" s="5" t="s">
        <v>462</v>
      </c>
      <c r="G61" s="9" t="s">
        <v>157</v>
      </c>
      <c r="H61" s="11"/>
    </row>
    <row r="62" customFormat="false" ht="15" hidden="false" customHeight="true" outlineLevel="0" collapsed="false">
      <c r="A62" s="11" t="s">
        <v>299</v>
      </c>
      <c r="B62" s="11" t="s">
        <v>98</v>
      </c>
      <c r="C62" s="16" t="n">
        <v>11</v>
      </c>
      <c r="D62" s="13" t="s">
        <v>175</v>
      </c>
      <c r="E62" s="13" t="s">
        <v>385</v>
      </c>
      <c r="F62" s="5" t="s">
        <v>386</v>
      </c>
      <c r="G62" s="9" t="s">
        <v>157</v>
      </c>
      <c r="H62" s="11"/>
    </row>
    <row r="63" customFormat="false" ht="23.25" hidden="false" customHeight="true" outlineLevel="0" collapsed="false">
      <c r="A63" s="11" t="s">
        <v>299</v>
      </c>
      <c r="B63" s="11" t="s">
        <v>98</v>
      </c>
      <c r="C63" s="16" t="n">
        <v>11</v>
      </c>
      <c r="D63" s="13" t="s">
        <v>175</v>
      </c>
      <c r="E63" s="13" t="s">
        <v>387</v>
      </c>
      <c r="F63" s="5" t="s">
        <v>388</v>
      </c>
      <c r="G63" s="9" t="s">
        <v>157</v>
      </c>
      <c r="H63" s="11"/>
    </row>
    <row r="64" customFormat="false" ht="34.5" hidden="false" customHeight="true" outlineLevel="0" collapsed="false">
      <c r="A64" s="11" t="s">
        <v>300</v>
      </c>
      <c r="B64" s="11" t="s">
        <v>98</v>
      </c>
      <c r="C64" s="16" t="n">
        <v>11</v>
      </c>
      <c r="D64" s="13" t="s">
        <v>251</v>
      </c>
      <c r="E64" s="13" t="s">
        <v>443</v>
      </c>
      <c r="F64" s="5" t="s">
        <v>444</v>
      </c>
      <c r="G64" s="9" t="s">
        <v>157</v>
      </c>
      <c r="H64" s="11"/>
    </row>
    <row r="65" customFormat="false" ht="23.25" hidden="false" customHeight="true" outlineLevel="0" collapsed="false">
      <c r="A65" s="11" t="s">
        <v>301</v>
      </c>
      <c r="B65" s="11" t="s">
        <v>98</v>
      </c>
      <c r="C65" s="23" t="n">
        <v>4</v>
      </c>
      <c r="D65" s="13" t="s">
        <v>303</v>
      </c>
      <c r="E65" s="13" t="s">
        <v>463</v>
      </c>
      <c r="F65" s="5" t="s">
        <v>464</v>
      </c>
      <c r="G65" s="9" t="s">
        <v>171</v>
      </c>
      <c r="H65" s="11"/>
    </row>
    <row r="66" customFormat="false" ht="15" hidden="false" customHeight="true" outlineLevel="0" collapsed="false">
      <c r="A66" s="11" t="s">
        <v>307</v>
      </c>
      <c r="B66" s="11" t="s">
        <v>98</v>
      </c>
      <c r="C66" s="12" t="n">
        <v>9</v>
      </c>
      <c r="D66" s="13" t="s">
        <v>154</v>
      </c>
      <c r="E66" s="13" t="s">
        <v>373</v>
      </c>
      <c r="F66" s="5" t="s">
        <v>374</v>
      </c>
      <c r="G66" s="9" t="s">
        <v>171</v>
      </c>
      <c r="H66" s="11"/>
    </row>
    <row r="67" customFormat="false" ht="15" hidden="false" customHeight="true" outlineLevel="0" collapsed="false">
      <c r="A67" s="11" t="s">
        <v>307</v>
      </c>
      <c r="B67" s="11" t="s">
        <v>98</v>
      </c>
      <c r="C67" s="12" t="n">
        <v>9</v>
      </c>
      <c r="D67" s="13" t="s">
        <v>154</v>
      </c>
      <c r="E67" s="13" t="s">
        <v>375</v>
      </c>
      <c r="F67" s="5" t="s">
        <v>376</v>
      </c>
      <c r="G67" s="9" t="s">
        <v>171</v>
      </c>
      <c r="H67" s="11"/>
    </row>
    <row r="68" customFormat="false" ht="23.25" hidden="false" customHeight="true" outlineLevel="0" collapsed="false">
      <c r="A68" s="11" t="s">
        <v>309</v>
      </c>
      <c r="B68" s="11" t="s">
        <v>98</v>
      </c>
      <c r="C68" s="24" t="n">
        <v>10</v>
      </c>
      <c r="D68" s="13" t="s">
        <v>311</v>
      </c>
      <c r="E68" s="13" t="s">
        <v>465</v>
      </c>
      <c r="F68" s="5" t="s">
        <v>466</v>
      </c>
      <c r="G68" s="9" t="s">
        <v>171</v>
      </c>
      <c r="H68" s="11"/>
    </row>
    <row r="69" customFormat="false" ht="23.25" hidden="false" customHeight="true" outlineLevel="0" collapsed="false">
      <c r="A69" s="11" t="s">
        <v>315</v>
      </c>
      <c r="B69" s="11" t="s">
        <v>107</v>
      </c>
      <c r="C69" s="24" t="n">
        <v>10</v>
      </c>
      <c r="D69" s="13" t="s">
        <v>311</v>
      </c>
      <c r="E69" s="13" t="s">
        <v>465</v>
      </c>
      <c r="F69" s="5" t="s">
        <v>466</v>
      </c>
      <c r="G69" s="9" t="s">
        <v>157</v>
      </c>
      <c r="H69" s="11"/>
    </row>
    <row r="70" customFormat="false" ht="15" hidden="false" customHeight="true" outlineLevel="0" collapsed="false">
      <c r="A70" s="11" t="s">
        <v>316</v>
      </c>
      <c r="B70" s="11" t="s">
        <v>107</v>
      </c>
      <c r="C70" s="16" t="n">
        <v>11</v>
      </c>
      <c r="D70" s="13" t="s">
        <v>175</v>
      </c>
      <c r="E70" s="13" t="s">
        <v>385</v>
      </c>
      <c r="F70" s="5" t="s">
        <v>386</v>
      </c>
      <c r="G70" s="9" t="s">
        <v>157</v>
      </c>
      <c r="H70" s="11"/>
    </row>
    <row r="71" customFormat="false" ht="23.25" hidden="false" customHeight="true" outlineLevel="0" collapsed="false">
      <c r="A71" s="11" t="s">
        <v>316</v>
      </c>
      <c r="B71" s="11" t="s">
        <v>107</v>
      </c>
      <c r="C71" s="16" t="n">
        <v>11</v>
      </c>
      <c r="D71" s="13" t="s">
        <v>175</v>
      </c>
      <c r="E71" s="13" t="s">
        <v>387</v>
      </c>
      <c r="F71" s="5" t="s">
        <v>388</v>
      </c>
      <c r="G71" s="9" t="s">
        <v>157</v>
      </c>
      <c r="H71" s="11"/>
    </row>
    <row r="72" customFormat="false" ht="15" hidden="false" customHeight="true" outlineLevel="0" collapsed="false">
      <c r="A72" s="11" t="s">
        <v>317</v>
      </c>
      <c r="B72" s="11" t="s">
        <v>107</v>
      </c>
      <c r="C72" s="25" t="n">
        <v>1</v>
      </c>
      <c r="D72" s="13" t="s">
        <v>319</v>
      </c>
      <c r="E72" s="13" t="s">
        <v>467</v>
      </c>
      <c r="F72" s="5" t="s">
        <v>468</v>
      </c>
      <c r="G72" s="9" t="s">
        <v>171</v>
      </c>
      <c r="H72" s="11"/>
    </row>
    <row r="73" customFormat="false" ht="23.25" hidden="false" customHeight="true" outlineLevel="0" collapsed="false">
      <c r="A73" s="11" t="s">
        <v>317</v>
      </c>
      <c r="B73" s="11" t="s">
        <v>107</v>
      </c>
      <c r="C73" s="25" t="n">
        <v>1</v>
      </c>
      <c r="D73" s="13" t="s">
        <v>319</v>
      </c>
      <c r="E73" s="13" t="s">
        <v>469</v>
      </c>
      <c r="F73" s="5" t="s">
        <v>470</v>
      </c>
      <c r="G73" s="9" t="s">
        <v>171</v>
      </c>
      <c r="H73" s="11"/>
    </row>
    <row r="74" customFormat="false" ht="15" hidden="false" customHeight="true" outlineLevel="0" collapsed="false">
      <c r="A74" s="11" t="s">
        <v>323</v>
      </c>
      <c r="B74" s="11" t="s">
        <v>107</v>
      </c>
      <c r="C74" s="12" t="n">
        <v>9</v>
      </c>
      <c r="D74" s="13" t="s">
        <v>154</v>
      </c>
      <c r="E74" s="13" t="s">
        <v>373</v>
      </c>
      <c r="F74" s="5" t="s">
        <v>374</v>
      </c>
      <c r="G74" s="9" t="s">
        <v>171</v>
      </c>
      <c r="H74" s="11"/>
    </row>
    <row r="75" customFormat="false" ht="15" hidden="false" customHeight="true" outlineLevel="0" collapsed="false">
      <c r="A75" s="11" t="s">
        <v>323</v>
      </c>
      <c r="B75" s="11" t="s">
        <v>107</v>
      </c>
      <c r="C75" s="12" t="n">
        <v>9</v>
      </c>
      <c r="D75" s="13" t="s">
        <v>154</v>
      </c>
      <c r="E75" s="13" t="s">
        <v>375</v>
      </c>
      <c r="F75" s="5" t="s">
        <v>376</v>
      </c>
      <c r="G75" s="9" t="s">
        <v>171</v>
      </c>
      <c r="H75" s="11"/>
    </row>
    <row r="76" customFormat="false" ht="34.5" hidden="false" customHeight="true" outlineLevel="0" collapsed="false">
      <c r="A76" s="11" t="s">
        <v>325</v>
      </c>
      <c r="B76" s="11" t="s">
        <v>107</v>
      </c>
      <c r="C76" s="18" t="n">
        <v>16</v>
      </c>
      <c r="D76" s="13" t="s">
        <v>326</v>
      </c>
      <c r="E76" s="13" t="s">
        <v>471</v>
      </c>
      <c r="F76" s="5" t="s">
        <v>472</v>
      </c>
      <c r="G76" s="9" t="s">
        <v>171</v>
      </c>
      <c r="H76" s="11"/>
    </row>
    <row r="77" customFormat="false" ht="23.25" hidden="false" customHeight="true" outlineLevel="0" collapsed="false">
      <c r="A77" s="11" t="s">
        <v>325</v>
      </c>
      <c r="B77" s="11" t="s">
        <v>107</v>
      </c>
      <c r="C77" s="18" t="n">
        <v>16</v>
      </c>
      <c r="D77" s="13" t="s">
        <v>326</v>
      </c>
      <c r="E77" s="13" t="s">
        <v>473</v>
      </c>
      <c r="F77" s="5" t="s">
        <v>474</v>
      </c>
      <c r="G77" s="9" t="s">
        <v>171</v>
      </c>
      <c r="H77" s="11"/>
    </row>
    <row r="78" customFormat="false" ht="23.25" hidden="false" customHeight="true" outlineLevel="0" collapsed="false">
      <c r="A78" s="11" t="s">
        <v>330</v>
      </c>
      <c r="B78" s="11" t="s">
        <v>116</v>
      </c>
      <c r="C78" s="19" t="n">
        <v>17</v>
      </c>
      <c r="D78" s="13" t="s">
        <v>264</v>
      </c>
      <c r="E78" s="13" t="s">
        <v>447</v>
      </c>
      <c r="F78" s="5" t="s">
        <v>448</v>
      </c>
      <c r="G78" s="9" t="s">
        <v>157</v>
      </c>
      <c r="H78" s="11"/>
    </row>
    <row r="79" customFormat="false" ht="15" hidden="false" customHeight="true" outlineLevel="0" collapsed="false">
      <c r="A79" s="11" t="s">
        <v>331</v>
      </c>
      <c r="B79" s="11" t="s">
        <v>116</v>
      </c>
      <c r="C79" s="19" t="n">
        <v>17</v>
      </c>
      <c r="D79" s="13" t="s">
        <v>269</v>
      </c>
      <c r="E79" s="13" t="s">
        <v>449</v>
      </c>
      <c r="F79" s="5" t="s">
        <v>450</v>
      </c>
      <c r="G79" s="9" t="s">
        <v>157</v>
      </c>
      <c r="H79" s="11"/>
    </row>
    <row r="80" customFormat="false" ht="15" hidden="false" customHeight="true" outlineLevel="0" collapsed="false">
      <c r="A80" s="11" t="s">
        <v>332</v>
      </c>
      <c r="B80" s="11" t="s">
        <v>116</v>
      </c>
      <c r="C80" s="15" t="n">
        <v>8</v>
      </c>
      <c r="D80" s="13" t="s">
        <v>278</v>
      </c>
      <c r="E80" s="13" t="s">
        <v>453</v>
      </c>
      <c r="F80" s="5" t="s">
        <v>454</v>
      </c>
      <c r="G80" s="9" t="s">
        <v>171</v>
      </c>
      <c r="H80" s="11"/>
    </row>
    <row r="81" customFormat="false" ht="15" hidden="false" customHeight="true" outlineLevel="0" collapsed="false">
      <c r="A81" s="11" t="s">
        <v>334</v>
      </c>
      <c r="B81" s="11" t="s">
        <v>116</v>
      </c>
      <c r="C81" s="15" t="n">
        <v>8</v>
      </c>
      <c r="D81" s="13" t="s">
        <v>335</v>
      </c>
      <c r="E81" s="13" t="s">
        <v>475</v>
      </c>
      <c r="F81" s="5" t="s">
        <v>476</v>
      </c>
      <c r="G81" s="9" t="s">
        <v>171</v>
      </c>
      <c r="H81" s="11"/>
    </row>
    <row r="82" customFormat="false" ht="15" hidden="false" customHeight="true" outlineLevel="0" collapsed="false">
      <c r="A82" s="11" t="s">
        <v>334</v>
      </c>
      <c r="B82" s="11" t="s">
        <v>116</v>
      </c>
      <c r="C82" s="15" t="n">
        <v>8</v>
      </c>
      <c r="D82" s="13" t="s">
        <v>335</v>
      </c>
      <c r="E82" s="13" t="s">
        <v>477</v>
      </c>
      <c r="F82" s="5" t="s">
        <v>478</v>
      </c>
      <c r="G82" s="9" t="s">
        <v>171</v>
      </c>
      <c r="H82" s="11"/>
    </row>
    <row r="83" customFormat="false" ht="23.25" hidden="false" customHeight="true" outlineLevel="0" collapsed="false">
      <c r="A83" s="11" t="s">
        <v>338</v>
      </c>
      <c r="B83" s="11" t="s">
        <v>116</v>
      </c>
      <c r="C83" s="24" t="n">
        <v>10</v>
      </c>
      <c r="D83" s="13" t="s">
        <v>311</v>
      </c>
      <c r="E83" s="13" t="s">
        <v>465</v>
      </c>
      <c r="F83" s="5" t="s">
        <v>466</v>
      </c>
      <c r="G83" s="9" t="s">
        <v>171</v>
      </c>
      <c r="H83" s="11"/>
    </row>
    <row r="84" customFormat="false" ht="15" hidden="false" customHeight="true" outlineLevel="0" collapsed="false">
      <c r="A84" s="11" t="s">
        <v>340</v>
      </c>
      <c r="B84" s="11" t="s">
        <v>116</v>
      </c>
      <c r="C84" s="17" t="n">
        <v>12</v>
      </c>
      <c r="D84" s="13" t="s">
        <v>274</v>
      </c>
      <c r="E84" s="13" t="s">
        <v>451</v>
      </c>
      <c r="F84" s="5" t="s">
        <v>452</v>
      </c>
      <c r="G84" s="9" t="s">
        <v>171</v>
      </c>
      <c r="H84" s="11"/>
    </row>
    <row r="85" customFormat="false" ht="23.25" hidden="false" customHeight="true" outlineLevel="0" collapsed="false">
      <c r="A85" s="11" t="s">
        <v>342</v>
      </c>
      <c r="B85" s="11" t="s">
        <v>116</v>
      </c>
      <c r="C85" s="18" t="n">
        <v>16</v>
      </c>
      <c r="D85" s="13" t="s">
        <v>130</v>
      </c>
      <c r="E85" s="13" t="s">
        <v>397</v>
      </c>
      <c r="F85" s="5" t="s">
        <v>398</v>
      </c>
      <c r="G85" s="9" t="s">
        <v>171</v>
      </c>
      <c r="H85" s="11"/>
    </row>
    <row r="86" customFormat="false" ht="15" hidden="false" customHeight="true" outlineLevel="0" collapsed="false">
      <c r="A86" s="11" t="s">
        <v>342</v>
      </c>
      <c r="B86" s="11" t="s">
        <v>116</v>
      </c>
      <c r="C86" s="18" t="n">
        <v>16</v>
      </c>
      <c r="D86" s="13" t="s">
        <v>130</v>
      </c>
      <c r="E86" s="13" t="s">
        <v>399</v>
      </c>
      <c r="F86" s="5" t="s">
        <v>400</v>
      </c>
      <c r="G86" s="9" t="s">
        <v>171</v>
      </c>
      <c r="H86" s="11"/>
    </row>
    <row r="87" customFormat="false" ht="34.5" hidden="false" customHeight="true" outlineLevel="0" collapsed="false">
      <c r="A87" s="11" t="s">
        <v>344</v>
      </c>
      <c r="B87" s="11" t="s">
        <v>116</v>
      </c>
      <c r="C87" s="18" t="n">
        <v>16</v>
      </c>
      <c r="D87" s="13" t="s">
        <v>326</v>
      </c>
      <c r="E87" s="13" t="s">
        <v>471</v>
      </c>
      <c r="F87" s="5" t="s">
        <v>472</v>
      </c>
      <c r="G87" s="9" t="s">
        <v>171</v>
      </c>
      <c r="H87" s="11"/>
    </row>
    <row r="88" customFormat="false" ht="23.25" hidden="false" customHeight="true" outlineLevel="0" collapsed="false">
      <c r="A88" s="11" t="s">
        <v>344</v>
      </c>
      <c r="B88" s="11" t="s">
        <v>116</v>
      </c>
      <c r="C88" s="18" t="n">
        <v>16</v>
      </c>
      <c r="D88" s="13" t="s">
        <v>326</v>
      </c>
      <c r="E88" s="13" t="s">
        <v>473</v>
      </c>
      <c r="F88" s="5" t="s">
        <v>474</v>
      </c>
      <c r="G88" s="9" t="s">
        <v>171</v>
      </c>
      <c r="H88" s="11"/>
    </row>
    <row r="89" customFormat="false" ht="23.25" hidden="false" customHeight="true" outlineLevel="0" collapsed="false">
      <c r="A89" s="11" t="s">
        <v>345</v>
      </c>
      <c r="B89" s="11" t="s">
        <v>125</v>
      </c>
      <c r="C89" s="18" t="n">
        <v>16</v>
      </c>
      <c r="D89" s="13" t="s">
        <v>130</v>
      </c>
      <c r="E89" s="13" t="s">
        <v>397</v>
      </c>
      <c r="F89" s="5" t="s">
        <v>398</v>
      </c>
      <c r="G89" s="9" t="s">
        <v>157</v>
      </c>
      <c r="H89" s="11"/>
    </row>
    <row r="90" customFormat="false" ht="15" hidden="false" customHeight="true" outlineLevel="0" collapsed="false">
      <c r="A90" s="11" t="s">
        <v>345</v>
      </c>
      <c r="B90" s="11" t="s">
        <v>125</v>
      </c>
      <c r="C90" s="18" t="n">
        <v>16</v>
      </c>
      <c r="D90" s="13" t="s">
        <v>130</v>
      </c>
      <c r="E90" s="13" t="s">
        <v>399</v>
      </c>
      <c r="F90" s="5" t="s">
        <v>400</v>
      </c>
      <c r="G90" s="9" t="s">
        <v>157</v>
      </c>
      <c r="H90" s="11"/>
    </row>
    <row r="91" customFormat="false" ht="15" hidden="false" customHeight="true" outlineLevel="0" collapsed="false">
      <c r="A91" s="11" t="s">
        <v>346</v>
      </c>
      <c r="B91" s="11" t="s">
        <v>125</v>
      </c>
      <c r="C91" s="19" t="n">
        <v>17</v>
      </c>
      <c r="D91" s="13" t="s">
        <v>347</v>
      </c>
      <c r="E91" s="13" t="s">
        <v>479</v>
      </c>
      <c r="F91" s="5" t="s">
        <v>480</v>
      </c>
      <c r="G91" s="9" t="s">
        <v>171</v>
      </c>
      <c r="H91" s="11"/>
    </row>
    <row r="92" customFormat="false" ht="15" hidden="false" customHeight="true" outlineLevel="0" collapsed="false">
      <c r="A92" s="11" t="s">
        <v>346</v>
      </c>
      <c r="B92" s="11" t="s">
        <v>125</v>
      </c>
      <c r="C92" s="19" t="n">
        <v>17</v>
      </c>
      <c r="D92" s="13" t="s">
        <v>347</v>
      </c>
      <c r="E92" s="13" t="s">
        <v>481</v>
      </c>
      <c r="F92" s="5" t="s">
        <v>482</v>
      </c>
      <c r="G92" s="9" t="s">
        <v>171</v>
      </c>
      <c r="H92" s="11"/>
    </row>
    <row r="93" customFormat="false" ht="15" hidden="false" customHeight="true" outlineLevel="0" collapsed="false">
      <c r="A93" s="11" t="s">
        <v>351</v>
      </c>
      <c r="B93" s="11" t="s">
        <v>125</v>
      </c>
      <c r="C93" s="19" t="n">
        <v>17</v>
      </c>
      <c r="D93" s="13" t="s">
        <v>352</v>
      </c>
      <c r="E93" s="13" t="s">
        <v>483</v>
      </c>
      <c r="F93" s="5" t="s">
        <v>484</v>
      </c>
      <c r="G93" s="9" t="s">
        <v>171</v>
      </c>
      <c r="H93" s="11"/>
    </row>
    <row r="94" customFormat="false" ht="15" hidden="false" customHeight="true" outlineLevel="0" collapsed="false">
      <c r="A94" s="11" t="s">
        <v>351</v>
      </c>
      <c r="B94" s="11" t="s">
        <v>125</v>
      </c>
      <c r="C94" s="19" t="n">
        <v>17</v>
      </c>
      <c r="D94" s="13" t="s">
        <v>352</v>
      </c>
      <c r="E94" s="13" t="s">
        <v>485</v>
      </c>
      <c r="F94" s="5" t="s">
        <v>486</v>
      </c>
      <c r="G94" s="9" t="s">
        <v>171</v>
      </c>
      <c r="H94" s="11"/>
    </row>
    <row r="95" customFormat="false" ht="15" hidden="false" customHeight="true" outlineLevel="0" collapsed="false">
      <c r="A95" s="11" t="s">
        <v>356</v>
      </c>
      <c r="B95" s="11" t="s">
        <v>125</v>
      </c>
      <c r="C95" s="19" t="n">
        <v>17</v>
      </c>
      <c r="D95" s="13" t="s">
        <v>357</v>
      </c>
      <c r="E95" s="13" t="s">
        <v>487</v>
      </c>
      <c r="F95" s="5" t="s">
        <v>488</v>
      </c>
      <c r="G95" s="9" t="s">
        <v>171</v>
      </c>
      <c r="H95" s="11"/>
    </row>
    <row r="96" customFormat="false" ht="23.25" hidden="false" customHeight="true" outlineLevel="0" collapsed="false">
      <c r="A96" s="11" t="s">
        <v>361</v>
      </c>
      <c r="B96" s="11" t="s">
        <v>125</v>
      </c>
      <c r="C96" s="19" t="n">
        <v>17</v>
      </c>
      <c r="D96" s="13" t="s">
        <v>259</v>
      </c>
      <c r="E96" s="13" t="s">
        <v>445</v>
      </c>
      <c r="F96" s="5" t="s">
        <v>446</v>
      </c>
      <c r="G96" s="9" t="s">
        <v>171</v>
      </c>
      <c r="H96" s="11"/>
    </row>
    <row r="97" customFormat="false" ht="23.25" hidden="false" customHeight="true" outlineLevel="0" collapsed="false">
      <c r="A97" s="11" t="s">
        <v>362</v>
      </c>
      <c r="B97" s="11" t="s">
        <v>134</v>
      </c>
      <c r="C97" s="18" t="n">
        <v>16</v>
      </c>
      <c r="D97" s="13" t="s">
        <v>130</v>
      </c>
      <c r="E97" s="13" t="s">
        <v>397</v>
      </c>
      <c r="F97" s="5" t="s">
        <v>398</v>
      </c>
      <c r="G97" s="9" t="s">
        <v>157</v>
      </c>
      <c r="H97" s="11"/>
    </row>
    <row r="98" customFormat="false" ht="15" hidden="false" customHeight="true" outlineLevel="0" collapsed="false">
      <c r="A98" s="11" t="s">
        <v>362</v>
      </c>
      <c r="B98" s="11" t="s">
        <v>134</v>
      </c>
      <c r="C98" s="18" t="n">
        <v>16</v>
      </c>
      <c r="D98" s="13" t="s">
        <v>130</v>
      </c>
      <c r="E98" s="13" t="s">
        <v>399</v>
      </c>
      <c r="F98" s="5" t="s">
        <v>400</v>
      </c>
      <c r="G98" s="9" t="s">
        <v>157</v>
      </c>
      <c r="H98" s="11"/>
    </row>
    <row r="99" customFormat="false" ht="34.5" hidden="false" customHeight="true" outlineLevel="0" collapsed="false">
      <c r="A99" s="11" t="s">
        <v>363</v>
      </c>
      <c r="B99" s="11" t="s">
        <v>134</v>
      </c>
      <c r="C99" s="18" t="n">
        <v>16</v>
      </c>
      <c r="D99" s="13" t="s">
        <v>326</v>
      </c>
      <c r="E99" s="13" t="s">
        <v>471</v>
      </c>
      <c r="F99" s="5" t="s">
        <v>472</v>
      </c>
      <c r="G99" s="9" t="s">
        <v>157</v>
      </c>
      <c r="H99" s="11"/>
    </row>
    <row r="100" customFormat="false" ht="23.25" hidden="false" customHeight="true" outlineLevel="0" collapsed="false">
      <c r="A100" s="11" t="s">
        <v>363</v>
      </c>
      <c r="B100" s="11" t="s">
        <v>134</v>
      </c>
      <c r="C100" s="18" t="n">
        <v>16</v>
      </c>
      <c r="D100" s="13" t="s">
        <v>326</v>
      </c>
      <c r="E100" s="13" t="s">
        <v>473</v>
      </c>
      <c r="F100" s="5" t="s">
        <v>474</v>
      </c>
      <c r="G100" s="9" t="s">
        <v>157</v>
      </c>
      <c r="H100" s="11"/>
    </row>
    <row r="101" customFormat="false" ht="15" hidden="false" customHeight="true" outlineLevel="0" collapsed="false">
      <c r="A101" s="11" t="s">
        <v>364</v>
      </c>
      <c r="B101" s="11" t="s">
        <v>134</v>
      </c>
      <c r="C101" s="15" t="n">
        <v>8</v>
      </c>
      <c r="D101" s="13" t="s">
        <v>278</v>
      </c>
      <c r="E101" s="13" t="s">
        <v>453</v>
      </c>
      <c r="F101" s="5" t="s">
        <v>454</v>
      </c>
      <c r="G101" s="9" t="s">
        <v>171</v>
      </c>
      <c r="H101" s="11"/>
    </row>
    <row r="102" customFormat="false" ht="23.25" hidden="false" customHeight="true" outlineLevel="0" collapsed="false">
      <c r="A102" s="11" t="s">
        <v>366</v>
      </c>
      <c r="B102" s="11" t="s">
        <v>134</v>
      </c>
      <c r="C102" s="24" t="n">
        <v>10</v>
      </c>
      <c r="D102" s="13" t="s">
        <v>311</v>
      </c>
      <c r="E102" s="13" t="s">
        <v>465</v>
      </c>
      <c r="F102" s="5" t="s">
        <v>466</v>
      </c>
      <c r="G102" s="9" t="s">
        <v>171</v>
      </c>
      <c r="H102" s="11"/>
    </row>
    <row r="103" customFormat="false" ht="34.5" hidden="false" customHeight="true" outlineLevel="0" collapsed="false">
      <c r="A103" s="11" t="s">
        <v>367</v>
      </c>
      <c r="B103" s="11" t="s">
        <v>134</v>
      </c>
      <c r="C103" s="16" t="n">
        <v>11</v>
      </c>
      <c r="D103" s="13" t="s">
        <v>251</v>
      </c>
      <c r="E103" s="13" t="s">
        <v>443</v>
      </c>
      <c r="F103" s="5" t="s">
        <v>444</v>
      </c>
      <c r="G103" s="9" t="s">
        <v>171</v>
      </c>
      <c r="H103" s="11"/>
    </row>
    <row r="104" customFormat="false" ht="23.25" hidden="false" customHeight="true" outlineLevel="0" collapsed="false">
      <c r="A104" s="11" t="s">
        <v>369</v>
      </c>
      <c r="B104" s="11" t="s">
        <v>134</v>
      </c>
      <c r="C104" s="19" t="n">
        <v>17</v>
      </c>
      <c r="D104" s="13" t="s">
        <v>259</v>
      </c>
      <c r="E104" s="13" t="s">
        <v>445</v>
      </c>
      <c r="F104" s="5" t="s">
        <v>446</v>
      </c>
      <c r="G104" s="9" t="s">
        <v>171</v>
      </c>
      <c r="H104" s="11"/>
    </row>
  </sheetData>
  <autoFilter ref="A1:H10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2"/>
    <col collapsed="false" customWidth="true" hidden="false" outlineLevel="0" max="3" min="3" style="1" width="22"/>
    <col collapsed="false" customWidth="true" hidden="false" outlineLevel="0" max="4" min="4" style="1" width="24"/>
    <col collapsed="false" customWidth="true" hidden="false" outlineLevel="0" max="5" min="5" style="1" width="11"/>
    <col collapsed="false" customWidth="true" hidden="false" outlineLevel="0" max="6" min="6" style="1" width="26"/>
    <col collapsed="false" customWidth="true" hidden="false" outlineLevel="0" max="7" min="7" style="1" width="20"/>
    <col collapsed="false" customWidth="true" hidden="false" outlineLevel="0" max="8" min="8" style="1" width="14"/>
    <col collapsed="false" customWidth="true" hidden="false" outlineLevel="0" max="9" min="9" style="1" width="11"/>
    <col collapsed="false" customWidth="true" hidden="false" outlineLevel="0" max="10" min="10" style="1" width="10"/>
    <col collapsed="false" customWidth="true" hidden="false" outlineLevel="0" max="11" min="11" style="1" width="22"/>
  </cols>
  <sheetData>
    <row r="1" customFormat="false" ht="30" hidden="false" customHeight="true" outlineLevel="0" collapsed="false">
      <c r="A1" s="7" t="s">
        <v>489</v>
      </c>
      <c r="B1" s="6" t="s">
        <v>490</v>
      </c>
      <c r="C1" s="6" t="s">
        <v>491</v>
      </c>
      <c r="D1" s="6" t="s">
        <v>492</v>
      </c>
      <c r="E1" s="6" t="s">
        <v>493</v>
      </c>
      <c r="F1" s="6" t="s">
        <v>494</v>
      </c>
      <c r="G1" s="6" t="s">
        <v>495</v>
      </c>
      <c r="H1" s="7" t="s">
        <v>496</v>
      </c>
      <c r="I1" s="7" t="s">
        <v>497</v>
      </c>
      <c r="J1" s="7" t="s">
        <v>498</v>
      </c>
      <c r="K1" s="6" t="s">
        <v>499</v>
      </c>
    </row>
    <row r="2" customFormat="false" ht="15" hidden="false" customHeight="true" outlineLevel="0" collapsed="false">
      <c r="A2" s="26" t="s">
        <v>500</v>
      </c>
      <c r="B2" s="27" t="s">
        <v>501</v>
      </c>
      <c r="C2" s="27" t="s">
        <v>502</v>
      </c>
      <c r="D2" s="27" t="s">
        <v>503</v>
      </c>
      <c r="E2" s="27" t="s">
        <v>504</v>
      </c>
      <c r="F2" s="27" t="s">
        <v>505</v>
      </c>
      <c r="G2" s="27" t="s">
        <v>506</v>
      </c>
      <c r="H2" s="28" t="n">
        <v>45910</v>
      </c>
      <c r="I2" s="9" t="n">
        <f aca="false">IF(A2="","",COUNTIFS(ps_pid,A2,ps_sub,"PP1.1"))</f>
        <v>6</v>
      </c>
      <c r="J2" s="29" t="n">
        <f aca="false">IF(A2="","",IFERROR(SUMIFS(ps_points,ps_pid,A2)/SUMIFS(ps_weight,ps_pid,A2),""))</f>
        <v>0.84</v>
      </c>
      <c r="K2" s="5" t="str">
        <f aca="false">IF(J2="","",IF(J2&gt;=0.8,"Bankable portfolio",IF(J2&gt;=0.5,"Return to step 2","Rework")))</f>
        <v>Bankable portfolio</v>
      </c>
    </row>
    <row r="3" customFormat="false" ht="15" hidden="false" customHeight="true" outlineLevel="0" collapsed="false">
      <c r="A3" s="30"/>
      <c r="H3" s="31"/>
      <c r="I3" s="9" t="str">
        <f aca="false">IF(A3="","",COUNTIFS(ps_pid,A3,ps_sub,"PP1.1"))</f>
        <v/>
      </c>
      <c r="J3" s="29" t="str">
        <f aca="false">IF(A3="","",IFERROR(SUMIFS(ps_points,ps_pid,A3)/SUMIFS(ps_weight,ps_pid,A3),""))</f>
        <v/>
      </c>
      <c r="K3" s="5" t="str">
        <f aca="false">IF(J3="","",IF(J3&gt;=0.8,"Bankable portfolio",IF(J3&gt;=0.5,"Return to step 2","Rework")))</f>
        <v/>
      </c>
    </row>
    <row r="4" customFormat="false" ht="15" hidden="false" customHeight="true" outlineLevel="0" collapsed="false">
      <c r="A4" s="30"/>
      <c r="H4" s="31"/>
      <c r="I4" s="9" t="str">
        <f aca="false">IF(A4="","",COUNTIFS(ps_pid,A4,ps_sub,"PP1.1"))</f>
        <v/>
      </c>
      <c r="J4" s="29" t="str">
        <f aca="false">IF(A4="","",IFERROR(SUMIFS(ps_points,ps_pid,A4)/SUMIFS(ps_weight,ps_pid,A4),""))</f>
        <v/>
      </c>
      <c r="K4" s="5" t="str">
        <f aca="false">IF(J4="","",IF(J4&gt;=0.8,"Bankable portfolio",IF(J4&gt;=0.5,"Return to step 2","Rework")))</f>
        <v/>
      </c>
    </row>
    <row r="5" customFormat="false" ht="15" hidden="false" customHeight="true" outlineLevel="0" collapsed="false">
      <c r="A5" s="30"/>
      <c r="H5" s="31"/>
      <c r="I5" s="9" t="str">
        <f aca="false">IF(A5="","",COUNTIFS(ps_pid,A5,ps_sub,"PP1.1"))</f>
        <v/>
      </c>
      <c r="J5" s="29" t="str">
        <f aca="false">IF(A5="","",IFERROR(SUMIFS(ps_points,ps_pid,A5)/SUMIFS(ps_weight,ps_pid,A5),""))</f>
        <v/>
      </c>
      <c r="K5" s="5" t="str">
        <f aca="false">IF(J5="","",IF(J5&gt;=0.8,"Bankable portfolio",IF(J5&gt;=0.5,"Return to step 2","Rework")))</f>
        <v/>
      </c>
    </row>
    <row r="6" customFormat="false" ht="15" hidden="false" customHeight="true" outlineLevel="0" collapsed="false">
      <c r="A6" s="30"/>
      <c r="H6" s="31"/>
      <c r="I6" s="9" t="str">
        <f aca="false">IF(A6="","",COUNTIFS(ps_pid,A6,ps_sub,"PP1.1"))</f>
        <v/>
      </c>
      <c r="J6" s="29" t="str">
        <f aca="false">IF(A6="","",IFERROR(SUMIFS(ps_points,ps_pid,A6)/SUMIFS(ps_weight,ps_pid,A6),""))</f>
        <v/>
      </c>
      <c r="K6" s="5" t="str">
        <f aca="false">IF(J6="","",IF(J6&gt;=0.8,"Bankable portfolio",IF(J6&gt;=0.5,"Return to step 2","Rework")))</f>
        <v/>
      </c>
    </row>
    <row r="7" customFormat="false" ht="15" hidden="false" customHeight="true" outlineLevel="0" collapsed="false">
      <c r="A7" s="30"/>
      <c r="H7" s="31"/>
      <c r="I7" s="9" t="str">
        <f aca="false">IF(A7="","",COUNTIFS(ps_pid,A7,ps_sub,"PP1.1"))</f>
        <v/>
      </c>
      <c r="J7" s="29" t="str">
        <f aca="false">IF(A7="","",IFERROR(SUMIFS(ps_points,ps_pid,A7)/SUMIFS(ps_weight,ps_pid,A7),""))</f>
        <v/>
      </c>
      <c r="K7" s="5" t="str">
        <f aca="false">IF(J7="","",IF(J7&gt;=0.8,"Bankable portfolio",IF(J7&gt;=0.5,"Return to step 2","Rework")))</f>
        <v/>
      </c>
    </row>
    <row r="8" customFormat="false" ht="15" hidden="false" customHeight="true" outlineLevel="0" collapsed="false">
      <c r="A8" s="30"/>
      <c r="H8" s="31"/>
      <c r="I8" s="9" t="str">
        <f aca="false">IF(A8="","",COUNTIFS(ps_pid,A8,ps_sub,"PP1.1"))</f>
        <v/>
      </c>
      <c r="J8" s="29" t="str">
        <f aca="false">IF(A8="","",IFERROR(SUMIFS(ps_points,ps_pid,A8)/SUMIFS(ps_weight,ps_pid,A8),""))</f>
        <v/>
      </c>
      <c r="K8" s="5" t="str">
        <f aca="false">IF(J8="","",IF(J8&gt;=0.8,"Bankable portfolio",IF(J8&gt;=0.5,"Return to step 2","Rework")))</f>
        <v/>
      </c>
    </row>
    <row r="9" customFormat="false" ht="15" hidden="false" customHeight="true" outlineLevel="0" collapsed="false">
      <c r="A9" s="30"/>
      <c r="H9" s="31"/>
      <c r="I9" s="9" t="str">
        <f aca="false">IF(A9="","",COUNTIFS(ps_pid,A9,ps_sub,"PP1.1"))</f>
        <v/>
      </c>
      <c r="J9" s="29" t="str">
        <f aca="false">IF(A9="","",IFERROR(SUMIFS(ps_points,ps_pid,A9)/SUMIFS(ps_weight,ps_pid,A9),""))</f>
        <v/>
      </c>
      <c r="K9" s="5" t="str">
        <f aca="false">IF(J9="","",IF(J9&gt;=0.8,"Bankable portfolio",IF(J9&gt;=0.5,"Return to step 2","Rework")))</f>
        <v/>
      </c>
    </row>
    <row r="10" customFormat="false" ht="15" hidden="false" customHeight="true" outlineLevel="0" collapsed="false">
      <c r="A10" s="30"/>
      <c r="H10" s="31"/>
      <c r="I10" s="9" t="str">
        <f aca="false">IF(A10="","",COUNTIFS(ps_pid,A10,ps_sub,"PP1.1"))</f>
        <v/>
      </c>
      <c r="J10" s="29" t="str">
        <f aca="false">IF(A10="","",IFERROR(SUMIFS(ps_points,ps_pid,A10)/SUMIFS(ps_weight,ps_pid,A10),""))</f>
        <v/>
      </c>
      <c r="K10" s="5" t="str">
        <f aca="false">IF(J10="","",IF(J10&gt;=0.8,"Bankable portfolio",IF(J10&gt;=0.5,"Return to step 2","Rework")))</f>
        <v/>
      </c>
    </row>
    <row r="11" customFormat="false" ht="15" hidden="false" customHeight="true" outlineLevel="0" collapsed="false">
      <c r="A11" s="30"/>
      <c r="H11" s="31"/>
      <c r="I11" s="9" t="str">
        <f aca="false">IF(A11="","",COUNTIFS(ps_pid,A11,ps_sub,"PP1.1"))</f>
        <v/>
      </c>
      <c r="J11" s="29" t="str">
        <f aca="false">IF(A11="","",IFERROR(SUMIFS(ps_points,ps_pid,A11)/SUMIFS(ps_weight,ps_pid,A11),""))</f>
        <v/>
      </c>
      <c r="K11" s="5" t="str">
        <f aca="false">IF(J11="","",IF(J11&gt;=0.8,"Bankable portfolio",IF(J11&gt;=0.5,"Return to step 2","Rework")))</f>
        <v/>
      </c>
    </row>
    <row r="12" customFormat="false" ht="15" hidden="false" customHeight="true" outlineLevel="0" collapsed="false">
      <c r="A12" s="30"/>
      <c r="H12" s="31"/>
      <c r="I12" s="9" t="str">
        <f aca="false">IF(A12="","",COUNTIFS(ps_pid,A12,ps_sub,"PP1.1"))</f>
        <v/>
      </c>
      <c r="J12" s="29" t="str">
        <f aca="false">IF(A12="","",IFERROR(SUMIFS(ps_points,ps_pid,A12)/SUMIFS(ps_weight,ps_pid,A12),""))</f>
        <v/>
      </c>
      <c r="K12" s="5" t="str">
        <f aca="false">IF(J12="","",IF(J12&gt;=0.8,"Bankable portfolio",IF(J12&gt;=0.5,"Return to step 2","Rework")))</f>
        <v/>
      </c>
    </row>
    <row r="13" customFormat="false" ht="15" hidden="false" customHeight="true" outlineLevel="0" collapsed="false">
      <c r="A13" s="30"/>
      <c r="H13" s="31"/>
      <c r="I13" s="9" t="str">
        <f aca="false">IF(A13="","",COUNTIFS(ps_pid,A13,ps_sub,"PP1.1"))</f>
        <v/>
      </c>
      <c r="J13" s="29" t="str">
        <f aca="false">IF(A13="","",IFERROR(SUMIFS(ps_points,ps_pid,A13)/SUMIFS(ps_weight,ps_pid,A13),""))</f>
        <v/>
      </c>
      <c r="K13" s="5" t="str">
        <f aca="false">IF(J13="","",IF(J13&gt;=0.8,"Bankable portfolio",IF(J13&gt;=0.5,"Return to step 2","Rework")))</f>
        <v/>
      </c>
    </row>
    <row r="14" customFormat="false" ht="15" hidden="false" customHeight="true" outlineLevel="0" collapsed="false">
      <c r="A14" s="30"/>
      <c r="H14" s="31"/>
      <c r="I14" s="9" t="str">
        <f aca="false">IF(A14="","",COUNTIFS(ps_pid,A14,ps_sub,"PP1.1"))</f>
        <v/>
      </c>
      <c r="J14" s="29" t="str">
        <f aca="false">IF(A14="","",IFERROR(SUMIFS(ps_points,ps_pid,A14)/SUMIFS(ps_weight,ps_pid,A14),""))</f>
        <v/>
      </c>
      <c r="K14" s="5" t="str">
        <f aca="false">IF(J14="","",IF(J14&gt;=0.8,"Bankable portfolio",IF(J14&gt;=0.5,"Return to step 2","Rework")))</f>
        <v/>
      </c>
    </row>
    <row r="15" customFormat="false" ht="15" hidden="false" customHeight="true" outlineLevel="0" collapsed="false">
      <c r="A15" s="30"/>
      <c r="H15" s="31"/>
      <c r="I15" s="9" t="str">
        <f aca="false">IF(A15="","",COUNTIFS(ps_pid,A15,ps_sub,"PP1.1"))</f>
        <v/>
      </c>
      <c r="J15" s="29" t="str">
        <f aca="false">IF(A15="","",IFERROR(SUMIFS(ps_points,ps_pid,A15)/SUMIFS(ps_weight,ps_pid,A15),""))</f>
        <v/>
      </c>
      <c r="K15" s="5" t="str">
        <f aca="false">IF(J15="","",IF(J15&gt;=0.8,"Bankable portfolio",IF(J15&gt;=0.5,"Return to step 2","Rework")))</f>
        <v/>
      </c>
    </row>
    <row r="16" customFormat="false" ht="15" hidden="false" customHeight="true" outlineLevel="0" collapsed="false">
      <c r="A16" s="30"/>
      <c r="H16" s="31"/>
      <c r="I16" s="9" t="str">
        <f aca="false">IF(A16="","",COUNTIFS(ps_pid,A16,ps_sub,"PP1.1"))</f>
        <v/>
      </c>
      <c r="J16" s="29" t="str">
        <f aca="false">IF(A16="","",IFERROR(SUMIFS(ps_points,ps_pid,A16)/SUMIFS(ps_weight,ps_pid,A16),""))</f>
        <v/>
      </c>
      <c r="K16" s="5" t="str">
        <f aca="false">IF(J16="","",IF(J16&gt;=0.8,"Bankable portfolio",IF(J16&gt;=0.5,"Return to step 2","Rework")))</f>
        <v/>
      </c>
    </row>
    <row r="17" customFormat="false" ht="15" hidden="false" customHeight="true" outlineLevel="0" collapsed="false">
      <c r="A17" s="30"/>
      <c r="H17" s="31"/>
      <c r="I17" s="9" t="str">
        <f aca="false">IF(A17="","",COUNTIFS(ps_pid,A17,ps_sub,"PP1.1"))</f>
        <v/>
      </c>
      <c r="J17" s="29" t="str">
        <f aca="false">IF(A17="","",IFERROR(SUMIFS(ps_points,ps_pid,A17)/SUMIFS(ps_weight,ps_pid,A17),""))</f>
        <v/>
      </c>
      <c r="K17" s="5" t="str">
        <f aca="false">IF(J17="","",IF(J17&gt;=0.8,"Bankable portfolio",IF(J17&gt;=0.5,"Return to step 2","Rework")))</f>
        <v/>
      </c>
    </row>
    <row r="18" customFormat="false" ht="15" hidden="false" customHeight="true" outlineLevel="0" collapsed="false">
      <c r="A18" s="30"/>
      <c r="H18" s="31"/>
      <c r="I18" s="9" t="str">
        <f aca="false">IF(A18="","",COUNTIFS(ps_pid,A18,ps_sub,"PP1.1"))</f>
        <v/>
      </c>
      <c r="J18" s="29" t="str">
        <f aca="false">IF(A18="","",IFERROR(SUMIFS(ps_points,ps_pid,A18)/SUMIFS(ps_weight,ps_pid,A18),""))</f>
        <v/>
      </c>
      <c r="K18" s="5" t="str">
        <f aca="false">IF(J18="","",IF(J18&gt;=0.8,"Bankable portfolio",IF(J18&gt;=0.5,"Return to step 2","Rework")))</f>
        <v/>
      </c>
    </row>
    <row r="19" customFormat="false" ht="15" hidden="false" customHeight="true" outlineLevel="0" collapsed="false">
      <c r="A19" s="30"/>
      <c r="H19" s="31"/>
      <c r="I19" s="9" t="str">
        <f aca="false">IF(A19="","",COUNTIFS(ps_pid,A19,ps_sub,"PP1.1"))</f>
        <v/>
      </c>
      <c r="J19" s="29" t="str">
        <f aca="false">IF(A19="","",IFERROR(SUMIFS(ps_points,ps_pid,A19)/SUMIFS(ps_weight,ps_pid,A19),""))</f>
        <v/>
      </c>
      <c r="K19" s="5" t="str">
        <f aca="false">IF(J19="","",IF(J19&gt;=0.8,"Bankable portfolio",IF(J19&gt;=0.5,"Return to step 2","Rework")))</f>
        <v/>
      </c>
    </row>
    <row r="20" customFormat="false" ht="15" hidden="false" customHeight="true" outlineLevel="0" collapsed="false">
      <c r="A20" s="30"/>
      <c r="H20" s="31"/>
      <c r="I20" s="9" t="str">
        <f aca="false">IF(A20="","",COUNTIFS(ps_pid,A20,ps_sub,"PP1.1"))</f>
        <v/>
      </c>
      <c r="J20" s="29" t="str">
        <f aca="false">IF(A20="","",IFERROR(SUMIFS(ps_points,ps_pid,A20)/SUMIFS(ps_weight,ps_pid,A20),""))</f>
        <v/>
      </c>
      <c r="K20" s="5" t="str">
        <f aca="false">IF(J20="","",IF(J20&gt;=0.8,"Bankable portfolio",IF(J20&gt;=0.5,"Return to step 2","Rework")))</f>
        <v/>
      </c>
    </row>
    <row r="21" customFormat="false" ht="15" hidden="false" customHeight="true" outlineLevel="0" collapsed="false">
      <c r="A21" s="30"/>
      <c r="H21" s="31"/>
      <c r="I21" s="9" t="str">
        <f aca="false">IF(A21="","",COUNTIFS(ps_pid,A21,ps_sub,"PP1.1"))</f>
        <v/>
      </c>
      <c r="J21" s="29" t="str">
        <f aca="false">IF(A21="","",IFERROR(SUMIFS(ps_points,ps_pid,A21)/SUMIFS(ps_weight,ps_pid,A21),""))</f>
        <v/>
      </c>
      <c r="K21" s="5" t="str">
        <f aca="false">IF(J21="","",IF(J21&gt;=0.8,"Bankable portfolio",IF(J21&gt;=0.5,"Return to step 2","Rework")))</f>
        <v/>
      </c>
    </row>
    <row r="22" customFormat="false" ht="15" hidden="false" customHeight="true" outlineLevel="0" collapsed="false">
      <c r="A22" s="30"/>
      <c r="H22" s="31"/>
      <c r="I22" s="9" t="str">
        <f aca="false">IF(A22="","",COUNTIFS(ps_pid,A22,ps_sub,"PP1.1"))</f>
        <v/>
      </c>
      <c r="J22" s="29" t="str">
        <f aca="false">IF(A22="","",IFERROR(SUMIFS(ps_points,ps_pid,A22)/SUMIFS(ps_weight,ps_pid,A22),""))</f>
        <v/>
      </c>
      <c r="K22" s="5" t="str">
        <f aca="false">IF(J22="","",IF(J22&gt;=0.8,"Bankable portfolio",IF(J22&gt;=0.5,"Return to step 2","Rework")))</f>
        <v/>
      </c>
    </row>
    <row r="23" customFormat="false" ht="15" hidden="false" customHeight="true" outlineLevel="0" collapsed="false">
      <c r="A23" s="30"/>
      <c r="H23" s="31"/>
      <c r="I23" s="9" t="str">
        <f aca="false">IF(A23="","",COUNTIFS(ps_pid,A23,ps_sub,"PP1.1"))</f>
        <v/>
      </c>
      <c r="J23" s="29" t="str">
        <f aca="false">IF(A23="","",IFERROR(SUMIFS(ps_points,ps_pid,A23)/SUMIFS(ps_weight,ps_pid,A23),""))</f>
        <v/>
      </c>
      <c r="K23" s="5" t="str">
        <f aca="false">IF(J23="","",IF(J23&gt;=0.8,"Bankable portfolio",IF(J23&gt;=0.5,"Return to step 2","Rework")))</f>
        <v/>
      </c>
    </row>
    <row r="24" customFormat="false" ht="15" hidden="false" customHeight="true" outlineLevel="0" collapsed="false">
      <c r="A24" s="30"/>
      <c r="H24" s="31"/>
      <c r="I24" s="9" t="str">
        <f aca="false">IF(A24="","",COUNTIFS(ps_pid,A24,ps_sub,"PP1.1"))</f>
        <v/>
      </c>
      <c r="J24" s="29" t="str">
        <f aca="false">IF(A24="","",IFERROR(SUMIFS(ps_points,ps_pid,A24)/SUMIFS(ps_weight,ps_pid,A24),""))</f>
        <v/>
      </c>
      <c r="K24" s="5" t="str">
        <f aca="false">IF(J24="","",IF(J24&gt;=0.8,"Bankable portfolio",IF(J24&gt;=0.5,"Return to step 2","Rework")))</f>
        <v/>
      </c>
    </row>
    <row r="25" customFormat="false" ht="15" hidden="false" customHeight="true" outlineLevel="0" collapsed="false">
      <c r="A25" s="30"/>
      <c r="H25" s="31"/>
      <c r="I25" s="9" t="str">
        <f aca="false">IF(A25="","",COUNTIFS(ps_pid,A25,ps_sub,"PP1.1"))</f>
        <v/>
      </c>
      <c r="J25" s="29" t="str">
        <f aca="false">IF(A25="","",IFERROR(SUMIFS(ps_points,ps_pid,A25)/SUMIFS(ps_weight,ps_pid,A25),""))</f>
        <v/>
      </c>
      <c r="K25" s="5" t="str">
        <f aca="false">IF(J25="","",IF(J25&gt;=0.8,"Bankable portfolio",IF(J25&gt;=0.5,"Return to step 2","Rework")))</f>
        <v/>
      </c>
    </row>
    <row r="26" customFormat="false" ht="15" hidden="false" customHeight="true" outlineLevel="0" collapsed="false">
      <c r="A26" s="30"/>
      <c r="H26" s="31"/>
      <c r="I26" s="9" t="str">
        <f aca="false">IF(A26="","",COUNTIFS(ps_pid,A26,ps_sub,"PP1.1"))</f>
        <v/>
      </c>
      <c r="J26" s="29" t="str">
        <f aca="false">IF(A26="","",IFERROR(SUMIFS(ps_points,ps_pid,A26)/SUMIFS(ps_weight,ps_pid,A26),""))</f>
        <v/>
      </c>
      <c r="K26" s="5" t="str">
        <f aca="false">IF(J26="","",IF(J26&gt;=0.8,"Bankable portfolio",IF(J26&gt;=0.5,"Return to step 2","Rework")))</f>
        <v/>
      </c>
    </row>
    <row r="27" customFormat="false" ht="15" hidden="false" customHeight="true" outlineLevel="0" collapsed="false">
      <c r="A27" s="30"/>
      <c r="H27" s="31"/>
      <c r="I27" s="9" t="str">
        <f aca="false">IF(A27="","",COUNTIFS(ps_pid,A27,ps_sub,"PP1.1"))</f>
        <v/>
      </c>
      <c r="J27" s="29" t="str">
        <f aca="false">IF(A27="","",IFERROR(SUMIFS(ps_points,ps_pid,A27)/SUMIFS(ps_weight,ps_pid,A27),""))</f>
        <v/>
      </c>
      <c r="K27" s="5" t="str">
        <f aca="false">IF(J27="","",IF(J27&gt;=0.8,"Bankable portfolio",IF(J27&gt;=0.5,"Return to step 2","Rework")))</f>
        <v/>
      </c>
    </row>
    <row r="28" customFormat="false" ht="15" hidden="false" customHeight="true" outlineLevel="0" collapsed="false">
      <c r="A28" s="30"/>
      <c r="H28" s="31"/>
      <c r="I28" s="9" t="str">
        <f aca="false">IF(A28="","",COUNTIFS(ps_pid,A28,ps_sub,"PP1.1"))</f>
        <v/>
      </c>
      <c r="J28" s="29" t="str">
        <f aca="false">IF(A28="","",IFERROR(SUMIFS(ps_points,ps_pid,A28)/SUMIFS(ps_weight,ps_pid,A28),""))</f>
        <v/>
      </c>
      <c r="K28" s="5" t="str">
        <f aca="false">IF(J28="","",IF(J28&gt;=0.8,"Bankable portfolio",IF(J28&gt;=0.5,"Return to step 2","Rework")))</f>
        <v/>
      </c>
    </row>
    <row r="29" customFormat="false" ht="15" hidden="false" customHeight="true" outlineLevel="0" collapsed="false">
      <c r="A29" s="30"/>
      <c r="H29" s="31"/>
      <c r="I29" s="9" t="str">
        <f aca="false">IF(A29="","",COUNTIFS(ps_pid,A29,ps_sub,"PP1.1"))</f>
        <v/>
      </c>
      <c r="J29" s="29" t="str">
        <f aca="false">IF(A29="","",IFERROR(SUMIFS(ps_points,ps_pid,A29)/SUMIFS(ps_weight,ps_pid,A29),""))</f>
        <v/>
      </c>
      <c r="K29" s="5" t="str">
        <f aca="false">IF(J29="","",IF(J29&gt;=0.8,"Bankable portfolio",IF(J29&gt;=0.5,"Return to step 2","Rework")))</f>
        <v/>
      </c>
    </row>
    <row r="30" customFormat="false" ht="15" hidden="false" customHeight="true" outlineLevel="0" collapsed="false">
      <c r="A30" s="30"/>
      <c r="H30" s="31"/>
      <c r="I30" s="9" t="str">
        <f aca="false">IF(A30="","",COUNTIFS(ps_pid,A30,ps_sub,"PP1.1"))</f>
        <v/>
      </c>
      <c r="J30" s="29" t="str">
        <f aca="false">IF(A30="","",IFERROR(SUMIFS(ps_points,ps_pid,A30)/SUMIFS(ps_weight,ps_pid,A30),""))</f>
        <v/>
      </c>
      <c r="K30" s="5" t="str">
        <f aca="false">IF(J30="","",IF(J30&gt;=0.8,"Bankable portfolio",IF(J30&gt;=0.5,"Return to step 2","Rework")))</f>
        <v/>
      </c>
    </row>
    <row r="31" customFormat="false" ht="15" hidden="false" customHeight="true" outlineLevel="0" collapsed="false">
      <c r="A31" s="30"/>
      <c r="H31" s="31"/>
      <c r="I31" s="9" t="str">
        <f aca="false">IF(A31="","",COUNTIFS(ps_pid,A31,ps_sub,"PP1.1"))</f>
        <v/>
      </c>
      <c r="J31" s="29" t="str">
        <f aca="false">IF(A31="","",IFERROR(SUMIFS(ps_points,ps_pid,A31)/SUMIFS(ps_weight,ps_pid,A31),""))</f>
        <v/>
      </c>
      <c r="K31" s="5" t="str">
        <f aca="false">IF(J31="","",IF(J31&gt;=0.8,"Bankable portfolio",IF(J31&gt;=0.5,"Return to step 2","Rework")))</f>
        <v/>
      </c>
    </row>
    <row r="32" customFormat="false" ht="15" hidden="false" customHeight="true" outlineLevel="0" collapsed="false">
      <c r="A32" s="30"/>
      <c r="H32" s="31"/>
      <c r="I32" s="9" t="str">
        <f aca="false">IF(A32="","",COUNTIFS(ps_pid,A32,ps_sub,"PP1.1"))</f>
        <v/>
      </c>
      <c r="J32" s="29" t="str">
        <f aca="false">IF(A32="","",IFERROR(SUMIFS(ps_points,ps_pid,A32)/SUMIFS(ps_weight,ps_pid,A32),""))</f>
        <v/>
      </c>
      <c r="K32" s="5" t="str">
        <f aca="false">IF(J32="","",IF(J32&gt;=0.8,"Bankable portfolio",IF(J32&gt;=0.5,"Return to step 2","Rework")))</f>
        <v/>
      </c>
    </row>
    <row r="33" customFormat="false" ht="15" hidden="false" customHeight="true" outlineLevel="0" collapsed="false">
      <c r="A33" s="30"/>
      <c r="H33" s="31"/>
      <c r="I33" s="9" t="str">
        <f aca="false">IF(A33="","",COUNTIFS(ps_pid,A33,ps_sub,"PP1.1"))</f>
        <v/>
      </c>
      <c r="J33" s="29" t="str">
        <f aca="false">IF(A33="","",IFERROR(SUMIFS(ps_points,ps_pid,A33)/SUMIFS(ps_weight,ps_pid,A33),""))</f>
        <v/>
      </c>
      <c r="K33" s="5" t="str">
        <f aca="false">IF(J33="","",IF(J33&gt;=0.8,"Bankable portfolio",IF(J33&gt;=0.5,"Return to step 2","Rework")))</f>
        <v/>
      </c>
    </row>
    <row r="34" customFormat="false" ht="15" hidden="false" customHeight="true" outlineLevel="0" collapsed="false">
      <c r="A34" s="30"/>
      <c r="H34" s="31"/>
      <c r="I34" s="9" t="str">
        <f aca="false">IF(A34="","",COUNTIFS(ps_pid,A34,ps_sub,"PP1.1"))</f>
        <v/>
      </c>
      <c r="J34" s="29" t="str">
        <f aca="false">IF(A34="","",IFERROR(SUMIFS(ps_points,ps_pid,A34)/SUMIFS(ps_weight,ps_pid,A34),""))</f>
        <v/>
      </c>
      <c r="K34" s="5" t="str">
        <f aca="false">IF(J34="","",IF(J34&gt;=0.8,"Bankable portfolio",IF(J34&gt;=0.5,"Return to step 2","Rework")))</f>
        <v/>
      </c>
    </row>
    <row r="35" customFormat="false" ht="15" hidden="false" customHeight="true" outlineLevel="0" collapsed="false">
      <c r="A35" s="30"/>
      <c r="H35" s="31"/>
      <c r="I35" s="9" t="str">
        <f aca="false">IF(A35="","",COUNTIFS(ps_pid,A35,ps_sub,"PP1.1"))</f>
        <v/>
      </c>
      <c r="J35" s="29" t="str">
        <f aca="false">IF(A35="","",IFERROR(SUMIFS(ps_points,ps_pid,A35)/SUMIFS(ps_weight,ps_pid,A35),""))</f>
        <v/>
      </c>
      <c r="K35" s="5" t="str">
        <f aca="false">IF(J35="","",IF(J35&gt;=0.8,"Bankable portfolio",IF(J35&gt;=0.5,"Return to step 2","Rework")))</f>
        <v/>
      </c>
    </row>
    <row r="36" customFormat="false" ht="15" hidden="false" customHeight="true" outlineLevel="0" collapsed="false">
      <c r="A36" s="30"/>
      <c r="H36" s="31"/>
      <c r="I36" s="9" t="str">
        <f aca="false">IF(A36="","",COUNTIFS(ps_pid,A36,ps_sub,"PP1.1"))</f>
        <v/>
      </c>
      <c r="J36" s="29" t="str">
        <f aca="false">IF(A36="","",IFERROR(SUMIFS(ps_points,ps_pid,A36)/SUMIFS(ps_weight,ps_pid,A36),""))</f>
        <v/>
      </c>
      <c r="K36" s="5" t="str">
        <f aca="false">IF(J36="","",IF(J36&gt;=0.8,"Bankable portfolio",IF(J36&gt;=0.5,"Return to step 2","Rework")))</f>
        <v/>
      </c>
    </row>
    <row r="37" customFormat="false" ht="15" hidden="false" customHeight="true" outlineLevel="0" collapsed="false">
      <c r="A37" s="30"/>
      <c r="H37" s="31"/>
      <c r="I37" s="9" t="str">
        <f aca="false">IF(A37="","",COUNTIFS(ps_pid,A37,ps_sub,"PP1.1"))</f>
        <v/>
      </c>
      <c r="J37" s="29" t="str">
        <f aca="false">IF(A37="","",IFERROR(SUMIFS(ps_points,ps_pid,A37)/SUMIFS(ps_weight,ps_pid,A37),""))</f>
        <v/>
      </c>
      <c r="K37" s="5" t="str">
        <f aca="false">IF(J37="","",IF(J37&gt;=0.8,"Bankable portfolio",IF(J37&gt;=0.5,"Return to step 2","Rework")))</f>
        <v/>
      </c>
    </row>
    <row r="38" customFormat="false" ht="15" hidden="false" customHeight="true" outlineLevel="0" collapsed="false">
      <c r="A38" s="30"/>
      <c r="H38" s="31"/>
      <c r="I38" s="9" t="str">
        <f aca="false">IF(A38="","",COUNTIFS(ps_pid,A38,ps_sub,"PP1.1"))</f>
        <v/>
      </c>
      <c r="J38" s="29" t="str">
        <f aca="false">IF(A38="","",IFERROR(SUMIFS(ps_points,ps_pid,A38)/SUMIFS(ps_weight,ps_pid,A38),""))</f>
        <v/>
      </c>
      <c r="K38" s="5" t="str">
        <f aca="false">IF(J38="","",IF(J38&gt;=0.8,"Bankable portfolio",IF(J38&gt;=0.5,"Return to step 2","Rework")))</f>
        <v/>
      </c>
    </row>
    <row r="39" customFormat="false" ht="15" hidden="false" customHeight="true" outlineLevel="0" collapsed="false">
      <c r="A39" s="30"/>
      <c r="H39" s="31"/>
      <c r="I39" s="9" t="str">
        <f aca="false">IF(A39="","",COUNTIFS(ps_pid,A39,ps_sub,"PP1.1"))</f>
        <v/>
      </c>
      <c r="J39" s="29" t="str">
        <f aca="false">IF(A39="","",IFERROR(SUMIFS(ps_points,ps_pid,A39)/SUMIFS(ps_weight,ps_pid,A39),""))</f>
        <v/>
      </c>
      <c r="K39" s="5" t="str">
        <f aca="false">IF(J39="","",IF(J39&gt;=0.8,"Bankable portfolio",IF(J39&gt;=0.5,"Return to step 2","Rework")))</f>
        <v/>
      </c>
    </row>
    <row r="40" customFormat="false" ht="15" hidden="false" customHeight="true" outlineLevel="0" collapsed="false">
      <c r="A40" s="30"/>
      <c r="H40" s="31"/>
      <c r="I40" s="9" t="str">
        <f aca="false">IF(A40="","",COUNTIFS(ps_pid,A40,ps_sub,"PP1.1"))</f>
        <v/>
      </c>
      <c r="J40" s="29" t="str">
        <f aca="false">IF(A40="","",IFERROR(SUMIFS(ps_points,ps_pid,A40)/SUMIFS(ps_weight,ps_pid,A40),""))</f>
        <v/>
      </c>
      <c r="K40" s="5" t="str">
        <f aca="false">IF(J40="","",IF(J40&gt;=0.8,"Bankable portfolio",IF(J40&gt;=0.5,"Return to step 2","Rework")))</f>
        <v/>
      </c>
    </row>
    <row r="41" customFormat="false" ht="15" hidden="false" customHeight="true" outlineLevel="0" collapsed="false">
      <c r="A41" s="30"/>
      <c r="H41" s="31"/>
      <c r="I41" s="9" t="str">
        <f aca="false">IF(A41="","",COUNTIFS(ps_pid,A41,ps_sub,"PP1.1"))</f>
        <v/>
      </c>
      <c r="J41" s="29" t="str">
        <f aca="false">IF(A41="","",IFERROR(SUMIFS(ps_points,ps_pid,A41)/SUMIFS(ps_weight,ps_pid,A41),""))</f>
        <v/>
      </c>
      <c r="K41" s="5" t="str">
        <f aca="false">IF(J41="","",IF(J41&gt;=0.8,"Bankable portfolio",IF(J41&gt;=0.5,"Return to step 2","Rework")))</f>
        <v/>
      </c>
    </row>
    <row r="42" customFormat="false" ht="15" hidden="false" customHeight="true" outlineLevel="0" collapsed="false">
      <c r="A42" s="30"/>
      <c r="H42" s="31"/>
      <c r="I42" s="9" t="str">
        <f aca="false">IF(A42="","",COUNTIFS(ps_pid,A42,ps_sub,"PP1.1"))</f>
        <v/>
      </c>
      <c r="J42" s="29" t="str">
        <f aca="false">IF(A42="","",IFERROR(SUMIFS(ps_points,ps_pid,A42)/SUMIFS(ps_weight,ps_pid,A42),""))</f>
        <v/>
      </c>
      <c r="K42" s="5" t="str">
        <f aca="false">IF(J42="","",IF(J42&gt;=0.8,"Bankable portfolio",IF(J42&gt;=0.5,"Return to step 2","Rework")))</f>
        <v/>
      </c>
    </row>
    <row r="43" customFormat="false" ht="15" hidden="false" customHeight="true" outlineLevel="0" collapsed="false">
      <c r="A43" s="30"/>
      <c r="H43" s="31"/>
      <c r="I43" s="9" t="str">
        <f aca="false">IF(A43="","",COUNTIFS(ps_pid,A43,ps_sub,"PP1.1"))</f>
        <v/>
      </c>
      <c r="J43" s="29" t="str">
        <f aca="false">IF(A43="","",IFERROR(SUMIFS(ps_points,ps_pid,A43)/SUMIFS(ps_weight,ps_pid,A43),""))</f>
        <v/>
      </c>
      <c r="K43" s="5" t="str">
        <f aca="false">IF(J43="","",IF(J43&gt;=0.8,"Bankable portfolio",IF(J43&gt;=0.5,"Return to step 2","Rework")))</f>
        <v/>
      </c>
    </row>
    <row r="44" customFormat="false" ht="15" hidden="false" customHeight="true" outlineLevel="0" collapsed="false">
      <c r="A44" s="30"/>
      <c r="H44" s="31"/>
      <c r="I44" s="9" t="str">
        <f aca="false">IF(A44="","",COUNTIFS(ps_pid,A44,ps_sub,"PP1.1"))</f>
        <v/>
      </c>
      <c r="J44" s="29" t="str">
        <f aca="false">IF(A44="","",IFERROR(SUMIFS(ps_points,ps_pid,A44)/SUMIFS(ps_weight,ps_pid,A44),""))</f>
        <v/>
      </c>
      <c r="K44" s="5" t="str">
        <f aca="false">IF(J44="","",IF(J44&gt;=0.8,"Bankable portfolio",IF(J44&gt;=0.5,"Return to step 2","Rework")))</f>
        <v/>
      </c>
    </row>
    <row r="45" customFormat="false" ht="15" hidden="false" customHeight="true" outlineLevel="0" collapsed="false">
      <c r="A45" s="30"/>
      <c r="H45" s="31"/>
      <c r="I45" s="9" t="str">
        <f aca="false">IF(A45="","",COUNTIFS(ps_pid,A45,ps_sub,"PP1.1"))</f>
        <v/>
      </c>
      <c r="J45" s="29" t="str">
        <f aca="false">IF(A45="","",IFERROR(SUMIFS(ps_points,ps_pid,A45)/SUMIFS(ps_weight,ps_pid,A45),""))</f>
        <v/>
      </c>
      <c r="K45" s="5" t="str">
        <f aca="false">IF(J45="","",IF(J45&gt;=0.8,"Bankable portfolio",IF(J45&gt;=0.5,"Return to step 2","Rework")))</f>
        <v/>
      </c>
    </row>
    <row r="46" customFormat="false" ht="15" hidden="false" customHeight="true" outlineLevel="0" collapsed="false">
      <c r="A46" s="30"/>
      <c r="H46" s="31"/>
      <c r="I46" s="9" t="str">
        <f aca="false">IF(A46="","",COUNTIFS(ps_pid,A46,ps_sub,"PP1.1"))</f>
        <v/>
      </c>
      <c r="J46" s="29" t="str">
        <f aca="false">IF(A46="","",IFERROR(SUMIFS(ps_points,ps_pid,A46)/SUMIFS(ps_weight,ps_pid,A46),""))</f>
        <v/>
      </c>
      <c r="K46" s="5" t="str">
        <f aca="false">IF(J46="","",IF(J46&gt;=0.8,"Bankable portfolio",IF(J46&gt;=0.5,"Return to step 2","Rework")))</f>
        <v/>
      </c>
    </row>
    <row r="47" customFormat="false" ht="15" hidden="false" customHeight="true" outlineLevel="0" collapsed="false">
      <c r="A47" s="30"/>
      <c r="H47" s="31"/>
      <c r="I47" s="9" t="str">
        <f aca="false">IF(A47="","",COUNTIFS(ps_pid,A47,ps_sub,"PP1.1"))</f>
        <v/>
      </c>
      <c r="J47" s="29" t="str">
        <f aca="false">IF(A47="","",IFERROR(SUMIFS(ps_points,ps_pid,A47)/SUMIFS(ps_weight,ps_pid,A47),""))</f>
        <v/>
      </c>
      <c r="K47" s="5" t="str">
        <f aca="false">IF(J47="","",IF(J47&gt;=0.8,"Bankable portfolio",IF(J47&gt;=0.5,"Return to step 2","Rework")))</f>
        <v/>
      </c>
    </row>
    <row r="48" customFormat="false" ht="15" hidden="false" customHeight="true" outlineLevel="0" collapsed="false">
      <c r="A48" s="30"/>
      <c r="H48" s="31"/>
      <c r="I48" s="9" t="str">
        <f aca="false">IF(A48="","",COUNTIFS(ps_pid,A48,ps_sub,"PP1.1"))</f>
        <v/>
      </c>
      <c r="J48" s="29" t="str">
        <f aca="false">IF(A48="","",IFERROR(SUMIFS(ps_points,ps_pid,A48)/SUMIFS(ps_weight,ps_pid,A48),""))</f>
        <v/>
      </c>
      <c r="K48" s="5" t="str">
        <f aca="false">IF(J48="","",IF(J48&gt;=0.8,"Bankable portfolio",IF(J48&gt;=0.5,"Return to step 2","Rework")))</f>
        <v/>
      </c>
    </row>
    <row r="49" customFormat="false" ht="15" hidden="false" customHeight="true" outlineLevel="0" collapsed="false">
      <c r="A49" s="30"/>
      <c r="H49" s="31"/>
      <c r="I49" s="9" t="str">
        <f aca="false">IF(A49="","",COUNTIFS(ps_pid,A49,ps_sub,"PP1.1"))</f>
        <v/>
      </c>
      <c r="J49" s="29" t="str">
        <f aca="false">IF(A49="","",IFERROR(SUMIFS(ps_points,ps_pid,A49)/SUMIFS(ps_weight,ps_pid,A49),""))</f>
        <v/>
      </c>
      <c r="K49" s="5" t="str">
        <f aca="false">IF(J49="","",IF(J49&gt;=0.8,"Bankable portfolio",IF(J49&gt;=0.5,"Return to step 2","Rework")))</f>
        <v/>
      </c>
    </row>
    <row r="50" customFormat="false" ht="15" hidden="false" customHeight="true" outlineLevel="0" collapsed="false">
      <c r="A50" s="30"/>
      <c r="H50" s="31"/>
      <c r="I50" s="9" t="str">
        <f aca="false">IF(A50="","",COUNTIFS(ps_pid,A50,ps_sub,"PP1.1"))</f>
        <v/>
      </c>
      <c r="J50" s="29" t="str">
        <f aca="false">IF(A50="","",IFERROR(SUMIFS(ps_points,ps_pid,A50)/SUMIFS(ps_weight,ps_pid,A50),""))</f>
        <v/>
      </c>
      <c r="K50" s="5" t="str">
        <f aca="false">IF(J50="","",IF(J50&gt;=0.8,"Bankable portfolio",IF(J50&gt;=0.5,"Return to step 2","Rework")))</f>
        <v/>
      </c>
    </row>
    <row r="51" customFormat="false" ht="15" hidden="false" customHeight="true" outlineLevel="0" collapsed="false">
      <c r="A51" s="30"/>
      <c r="H51" s="31"/>
      <c r="I51" s="9" t="str">
        <f aca="false">IF(A51="","",COUNTIFS(ps_pid,A51,ps_sub,"PP1.1"))</f>
        <v/>
      </c>
      <c r="J51" s="29" t="str">
        <f aca="false">IF(A51="","",IFERROR(SUMIFS(ps_points,ps_pid,A51)/SUMIFS(ps_weight,ps_pid,A51),""))</f>
        <v/>
      </c>
      <c r="K51" s="5" t="str">
        <f aca="false">IF(J51="","",IF(J51&gt;=0.8,"Bankable portfolio",IF(J51&gt;=0.5,"Return to step 2","Rework")))</f>
        <v/>
      </c>
    </row>
    <row r="52" customFormat="false" ht="15" hidden="false" customHeight="true" outlineLevel="0" collapsed="false">
      <c r="A52" s="30"/>
      <c r="H52" s="31"/>
      <c r="I52" s="9" t="str">
        <f aca="false">IF(A52="","",COUNTIFS(ps_pid,A52,ps_sub,"PP1.1"))</f>
        <v/>
      </c>
      <c r="J52" s="29" t="str">
        <f aca="false">IF(A52="","",IFERROR(SUMIFS(ps_points,ps_pid,A52)/SUMIFS(ps_weight,ps_pid,A52),""))</f>
        <v/>
      </c>
      <c r="K52" s="5" t="str">
        <f aca="false">IF(J52="","",IF(J52&gt;=0.8,"Bankable portfolio",IF(J52&gt;=0.5,"Return to step 2","Rework")))</f>
        <v/>
      </c>
    </row>
    <row r="53" customFormat="false" ht="15" hidden="false" customHeight="true" outlineLevel="0" collapsed="false">
      <c r="A53" s="30"/>
      <c r="H53" s="31"/>
      <c r="I53" s="9" t="str">
        <f aca="false">IF(A53="","",COUNTIFS(ps_pid,A53,ps_sub,"PP1.1"))</f>
        <v/>
      </c>
      <c r="J53" s="29" t="str">
        <f aca="false">IF(A53="","",IFERROR(SUMIFS(ps_points,ps_pid,A53)/SUMIFS(ps_weight,ps_pid,A53),""))</f>
        <v/>
      </c>
      <c r="K53" s="5" t="str">
        <f aca="false">IF(J53="","",IF(J53&gt;=0.8,"Bankable portfolio",IF(J53&gt;=0.5,"Return to step 2","Rework")))</f>
        <v/>
      </c>
    </row>
    <row r="54" customFormat="false" ht="15" hidden="false" customHeight="true" outlineLevel="0" collapsed="false">
      <c r="A54" s="30"/>
      <c r="H54" s="31"/>
      <c r="I54" s="9" t="str">
        <f aca="false">IF(A54="","",COUNTIFS(ps_pid,A54,ps_sub,"PP1.1"))</f>
        <v/>
      </c>
      <c r="J54" s="29" t="str">
        <f aca="false">IF(A54="","",IFERROR(SUMIFS(ps_points,ps_pid,A54)/SUMIFS(ps_weight,ps_pid,A54),""))</f>
        <v/>
      </c>
      <c r="K54" s="5" t="str">
        <f aca="false">IF(J54="","",IF(J54&gt;=0.8,"Bankable portfolio",IF(J54&gt;=0.5,"Return to step 2","Rework")))</f>
        <v/>
      </c>
    </row>
    <row r="55" customFormat="false" ht="15" hidden="false" customHeight="true" outlineLevel="0" collapsed="false">
      <c r="A55" s="30"/>
      <c r="H55" s="31"/>
      <c r="I55" s="9" t="str">
        <f aca="false">IF(A55="","",COUNTIFS(ps_pid,A55,ps_sub,"PP1.1"))</f>
        <v/>
      </c>
      <c r="J55" s="29" t="str">
        <f aca="false">IF(A55="","",IFERROR(SUMIFS(ps_points,ps_pid,A55)/SUMIFS(ps_weight,ps_pid,A55),""))</f>
        <v/>
      </c>
      <c r="K55" s="5" t="str">
        <f aca="false">IF(J55="","",IF(J55&gt;=0.8,"Bankable portfolio",IF(J55&gt;=0.5,"Return to step 2","Rework")))</f>
        <v/>
      </c>
    </row>
    <row r="56" customFormat="false" ht="15" hidden="false" customHeight="true" outlineLevel="0" collapsed="false">
      <c r="A56" s="30"/>
      <c r="H56" s="31"/>
      <c r="I56" s="9" t="str">
        <f aca="false">IF(A56="","",COUNTIFS(ps_pid,A56,ps_sub,"PP1.1"))</f>
        <v/>
      </c>
      <c r="J56" s="29" t="str">
        <f aca="false">IF(A56="","",IFERROR(SUMIFS(ps_points,ps_pid,A56)/SUMIFS(ps_weight,ps_pid,A56),""))</f>
        <v/>
      </c>
      <c r="K56" s="5" t="str">
        <f aca="false">IF(J56="","",IF(J56&gt;=0.8,"Bankable portfolio",IF(J56&gt;=0.5,"Return to step 2","Rework")))</f>
        <v/>
      </c>
    </row>
    <row r="57" customFormat="false" ht="15" hidden="false" customHeight="true" outlineLevel="0" collapsed="false">
      <c r="A57" s="30"/>
      <c r="H57" s="31"/>
      <c r="I57" s="9" t="str">
        <f aca="false">IF(A57="","",COUNTIFS(ps_pid,A57,ps_sub,"PP1.1"))</f>
        <v/>
      </c>
      <c r="J57" s="29" t="str">
        <f aca="false">IF(A57="","",IFERROR(SUMIFS(ps_points,ps_pid,A57)/SUMIFS(ps_weight,ps_pid,A57),""))</f>
        <v/>
      </c>
      <c r="K57" s="5" t="str">
        <f aca="false">IF(J57="","",IF(J57&gt;=0.8,"Bankable portfolio",IF(J57&gt;=0.5,"Return to step 2","Rework")))</f>
        <v/>
      </c>
    </row>
    <row r="58" customFormat="false" ht="15" hidden="false" customHeight="true" outlineLevel="0" collapsed="false">
      <c r="A58" s="30"/>
      <c r="H58" s="31"/>
      <c r="I58" s="9" t="str">
        <f aca="false">IF(A58="","",COUNTIFS(ps_pid,A58,ps_sub,"PP1.1"))</f>
        <v/>
      </c>
      <c r="J58" s="29" t="str">
        <f aca="false">IF(A58="","",IFERROR(SUMIFS(ps_points,ps_pid,A58)/SUMIFS(ps_weight,ps_pid,A58),""))</f>
        <v/>
      </c>
      <c r="K58" s="5" t="str">
        <f aca="false">IF(J58="","",IF(J58&gt;=0.8,"Bankable portfolio",IF(J58&gt;=0.5,"Return to step 2","Rework")))</f>
        <v/>
      </c>
    </row>
    <row r="59" customFormat="false" ht="15" hidden="false" customHeight="true" outlineLevel="0" collapsed="false">
      <c r="A59" s="30"/>
      <c r="H59" s="31"/>
      <c r="I59" s="9" t="str">
        <f aca="false">IF(A59="","",COUNTIFS(ps_pid,A59,ps_sub,"PP1.1"))</f>
        <v/>
      </c>
      <c r="J59" s="29" t="str">
        <f aca="false">IF(A59="","",IFERROR(SUMIFS(ps_points,ps_pid,A59)/SUMIFS(ps_weight,ps_pid,A59),""))</f>
        <v/>
      </c>
      <c r="K59" s="5" t="str">
        <f aca="false">IF(J59="","",IF(J59&gt;=0.8,"Bankable portfolio",IF(J59&gt;=0.5,"Return to step 2","Rework")))</f>
        <v/>
      </c>
    </row>
    <row r="60" customFormat="false" ht="15" hidden="false" customHeight="true" outlineLevel="0" collapsed="false">
      <c r="A60" s="30"/>
      <c r="H60" s="31"/>
      <c r="I60" s="9" t="str">
        <f aca="false">IF(A60="","",COUNTIFS(ps_pid,A60,ps_sub,"PP1.1"))</f>
        <v/>
      </c>
      <c r="J60" s="29" t="str">
        <f aca="false">IF(A60="","",IFERROR(SUMIFS(ps_points,ps_pid,A60)/SUMIFS(ps_weight,ps_pid,A60),""))</f>
        <v/>
      </c>
      <c r="K60" s="5" t="str">
        <f aca="false">IF(J60="","",IF(J60&gt;=0.8,"Bankable portfolio",IF(J60&gt;=0.5,"Return to step 2","Rework")))</f>
        <v/>
      </c>
    </row>
    <row r="61" customFormat="false" ht="15" hidden="false" customHeight="true" outlineLevel="0" collapsed="false">
      <c r="A61" s="30"/>
      <c r="H61" s="31"/>
      <c r="I61" s="9" t="str">
        <f aca="false">IF(A61="","",COUNTIFS(ps_pid,A61,ps_sub,"PP1.1"))</f>
        <v/>
      </c>
      <c r="J61" s="29" t="str">
        <f aca="false">IF(A61="","",IFERROR(SUMIFS(ps_points,ps_pid,A61)/SUMIFS(ps_weight,ps_pid,A61),""))</f>
        <v/>
      </c>
      <c r="K61" s="5" t="str">
        <f aca="false">IF(J61="","",IF(J61&gt;=0.8,"Bankable portfolio",IF(J61&gt;=0.5,"Return to step 2","Rework")))</f>
        <v/>
      </c>
    </row>
    <row r="62" customFormat="false" ht="15" hidden="false" customHeight="true" outlineLevel="0" collapsed="false">
      <c r="A62" s="30"/>
      <c r="H62" s="31"/>
      <c r="I62" s="9" t="str">
        <f aca="false">IF(A62="","",COUNTIFS(ps_pid,A62,ps_sub,"PP1.1"))</f>
        <v/>
      </c>
      <c r="J62" s="29" t="str">
        <f aca="false">IF(A62="","",IFERROR(SUMIFS(ps_points,ps_pid,A62)/SUMIFS(ps_weight,ps_pid,A62),""))</f>
        <v/>
      </c>
      <c r="K62" s="5" t="str">
        <f aca="false">IF(J62="","",IF(J62&gt;=0.8,"Bankable portfolio",IF(J62&gt;=0.5,"Return to step 2","Rework")))</f>
        <v/>
      </c>
    </row>
    <row r="63" customFormat="false" ht="15" hidden="false" customHeight="true" outlineLevel="0" collapsed="false">
      <c r="A63" s="30"/>
      <c r="H63" s="31"/>
      <c r="I63" s="9" t="str">
        <f aca="false">IF(A63="","",COUNTIFS(ps_pid,A63,ps_sub,"PP1.1"))</f>
        <v/>
      </c>
      <c r="J63" s="29" t="str">
        <f aca="false">IF(A63="","",IFERROR(SUMIFS(ps_points,ps_pid,A63)/SUMIFS(ps_weight,ps_pid,A63),""))</f>
        <v/>
      </c>
      <c r="K63" s="5" t="str">
        <f aca="false">IF(J63="","",IF(J63&gt;=0.8,"Bankable portfolio",IF(J63&gt;=0.5,"Return to step 2","Rework")))</f>
        <v/>
      </c>
    </row>
    <row r="64" customFormat="false" ht="15" hidden="false" customHeight="true" outlineLevel="0" collapsed="false">
      <c r="A64" s="30"/>
      <c r="H64" s="31"/>
      <c r="I64" s="9" t="str">
        <f aca="false">IF(A64="","",COUNTIFS(ps_pid,A64,ps_sub,"PP1.1"))</f>
        <v/>
      </c>
      <c r="J64" s="29" t="str">
        <f aca="false">IF(A64="","",IFERROR(SUMIFS(ps_points,ps_pid,A64)/SUMIFS(ps_weight,ps_pid,A64),""))</f>
        <v/>
      </c>
      <c r="K64" s="5" t="str">
        <f aca="false">IF(J64="","",IF(J64&gt;=0.8,"Bankable portfolio",IF(J64&gt;=0.5,"Return to step 2","Rework")))</f>
        <v/>
      </c>
    </row>
    <row r="65" customFormat="false" ht="15" hidden="false" customHeight="true" outlineLevel="0" collapsed="false">
      <c r="A65" s="30"/>
      <c r="H65" s="31"/>
      <c r="I65" s="9" t="str">
        <f aca="false">IF(A65="","",COUNTIFS(ps_pid,A65,ps_sub,"PP1.1"))</f>
        <v/>
      </c>
      <c r="J65" s="29" t="str">
        <f aca="false">IF(A65="","",IFERROR(SUMIFS(ps_points,ps_pid,A65)/SUMIFS(ps_weight,ps_pid,A65),""))</f>
        <v/>
      </c>
      <c r="K65" s="5" t="str">
        <f aca="false">IF(J65="","",IF(J65&gt;=0.8,"Bankable portfolio",IF(J65&gt;=0.5,"Return to step 2","Rework")))</f>
        <v/>
      </c>
    </row>
    <row r="66" customFormat="false" ht="15" hidden="false" customHeight="true" outlineLevel="0" collapsed="false">
      <c r="A66" s="30"/>
      <c r="H66" s="31"/>
      <c r="I66" s="9" t="str">
        <f aca="false">IF(A66="","",COUNTIFS(ps_pid,A66,ps_sub,"PP1.1"))</f>
        <v/>
      </c>
      <c r="J66" s="29" t="str">
        <f aca="false">IF(A66="","",IFERROR(SUMIFS(ps_points,ps_pid,A66)/SUMIFS(ps_weight,ps_pid,A66),""))</f>
        <v/>
      </c>
      <c r="K66" s="5" t="str">
        <f aca="false">IF(J66="","",IF(J66&gt;=0.8,"Bankable portfolio",IF(J66&gt;=0.5,"Return to step 2","Rework")))</f>
        <v/>
      </c>
    </row>
    <row r="67" customFormat="false" ht="15" hidden="false" customHeight="true" outlineLevel="0" collapsed="false">
      <c r="A67" s="30"/>
      <c r="H67" s="31"/>
      <c r="I67" s="9" t="str">
        <f aca="false">IF(A67="","",COUNTIFS(ps_pid,A67,ps_sub,"PP1.1"))</f>
        <v/>
      </c>
      <c r="J67" s="29" t="str">
        <f aca="false">IF(A67="","",IFERROR(SUMIFS(ps_points,ps_pid,A67)/SUMIFS(ps_weight,ps_pid,A67),""))</f>
        <v/>
      </c>
      <c r="K67" s="5" t="str">
        <f aca="false">IF(J67="","",IF(J67&gt;=0.8,"Bankable portfolio",IF(J67&gt;=0.5,"Return to step 2","Rework")))</f>
        <v/>
      </c>
    </row>
    <row r="68" customFormat="false" ht="15" hidden="false" customHeight="true" outlineLevel="0" collapsed="false">
      <c r="A68" s="30"/>
      <c r="H68" s="31"/>
      <c r="I68" s="9" t="str">
        <f aca="false">IF(A68="","",COUNTIFS(ps_pid,A68,ps_sub,"PP1.1"))</f>
        <v/>
      </c>
      <c r="J68" s="29" t="str">
        <f aca="false">IF(A68="","",IFERROR(SUMIFS(ps_points,ps_pid,A68)/SUMIFS(ps_weight,ps_pid,A68),""))</f>
        <v/>
      </c>
      <c r="K68" s="5" t="str">
        <f aca="false">IF(J68="","",IF(J68&gt;=0.8,"Bankable portfolio",IF(J68&gt;=0.5,"Return to step 2","Rework")))</f>
        <v/>
      </c>
    </row>
    <row r="69" customFormat="false" ht="15" hidden="false" customHeight="true" outlineLevel="0" collapsed="false">
      <c r="A69" s="30"/>
      <c r="H69" s="31"/>
      <c r="I69" s="9" t="str">
        <f aca="false">IF(A69="","",COUNTIFS(ps_pid,A69,ps_sub,"PP1.1"))</f>
        <v/>
      </c>
      <c r="J69" s="29" t="str">
        <f aca="false">IF(A69="","",IFERROR(SUMIFS(ps_points,ps_pid,A69)/SUMIFS(ps_weight,ps_pid,A69),""))</f>
        <v/>
      </c>
      <c r="K69" s="5" t="str">
        <f aca="false">IF(J69="","",IF(J69&gt;=0.8,"Bankable portfolio",IF(J69&gt;=0.5,"Return to step 2","Rework")))</f>
        <v/>
      </c>
    </row>
    <row r="70" customFormat="false" ht="15" hidden="false" customHeight="true" outlineLevel="0" collapsed="false">
      <c r="A70" s="30"/>
      <c r="H70" s="31"/>
      <c r="I70" s="9" t="str">
        <f aca="false">IF(A70="","",COUNTIFS(ps_pid,A70,ps_sub,"PP1.1"))</f>
        <v/>
      </c>
      <c r="J70" s="29" t="str">
        <f aca="false">IF(A70="","",IFERROR(SUMIFS(ps_points,ps_pid,A70)/SUMIFS(ps_weight,ps_pid,A70),""))</f>
        <v/>
      </c>
      <c r="K70" s="5" t="str">
        <f aca="false">IF(J70="","",IF(J70&gt;=0.8,"Bankable portfolio",IF(J70&gt;=0.5,"Return to step 2","Rework")))</f>
        <v/>
      </c>
    </row>
    <row r="71" customFormat="false" ht="15" hidden="false" customHeight="true" outlineLevel="0" collapsed="false">
      <c r="A71" s="30"/>
      <c r="H71" s="31"/>
      <c r="I71" s="9" t="str">
        <f aca="false">IF(A71="","",COUNTIFS(ps_pid,A71,ps_sub,"PP1.1"))</f>
        <v/>
      </c>
      <c r="J71" s="29" t="str">
        <f aca="false">IF(A71="","",IFERROR(SUMIFS(ps_points,ps_pid,A71)/SUMIFS(ps_weight,ps_pid,A71),""))</f>
        <v/>
      </c>
      <c r="K71" s="5" t="str">
        <f aca="false">IF(J71="","",IF(J71&gt;=0.8,"Bankable portfolio",IF(J71&gt;=0.5,"Return to step 2","Rework")))</f>
        <v/>
      </c>
    </row>
    <row r="72" customFormat="false" ht="15" hidden="false" customHeight="true" outlineLevel="0" collapsed="false">
      <c r="A72" s="30"/>
      <c r="H72" s="31"/>
      <c r="I72" s="9" t="str">
        <f aca="false">IF(A72="","",COUNTIFS(ps_pid,A72,ps_sub,"PP1.1"))</f>
        <v/>
      </c>
      <c r="J72" s="29" t="str">
        <f aca="false">IF(A72="","",IFERROR(SUMIFS(ps_points,ps_pid,A72)/SUMIFS(ps_weight,ps_pid,A72),""))</f>
        <v/>
      </c>
      <c r="K72" s="5" t="str">
        <f aca="false">IF(J72="","",IF(J72&gt;=0.8,"Bankable portfolio",IF(J72&gt;=0.5,"Return to step 2","Rework")))</f>
        <v/>
      </c>
    </row>
    <row r="73" customFormat="false" ht="15" hidden="false" customHeight="true" outlineLevel="0" collapsed="false">
      <c r="A73" s="30"/>
      <c r="H73" s="31"/>
      <c r="I73" s="9" t="str">
        <f aca="false">IF(A73="","",COUNTIFS(ps_pid,A73,ps_sub,"PP1.1"))</f>
        <v/>
      </c>
      <c r="J73" s="29" t="str">
        <f aca="false">IF(A73="","",IFERROR(SUMIFS(ps_points,ps_pid,A73)/SUMIFS(ps_weight,ps_pid,A73),""))</f>
        <v/>
      </c>
      <c r="K73" s="5" t="str">
        <f aca="false">IF(J73="","",IF(J73&gt;=0.8,"Bankable portfolio",IF(J73&gt;=0.5,"Return to step 2","Rework")))</f>
        <v/>
      </c>
    </row>
    <row r="74" customFormat="false" ht="15" hidden="false" customHeight="true" outlineLevel="0" collapsed="false">
      <c r="A74" s="30"/>
      <c r="H74" s="31"/>
      <c r="I74" s="9" t="str">
        <f aca="false">IF(A74="","",COUNTIFS(ps_pid,A74,ps_sub,"PP1.1"))</f>
        <v/>
      </c>
      <c r="J74" s="29" t="str">
        <f aca="false">IF(A74="","",IFERROR(SUMIFS(ps_points,ps_pid,A74)/SUMIFS(ps_weight,ps_pid,A74),""))</f>
        <v/>
      </c>
      <c r="K74" s="5" t="str">
        <f aca="false">IF(J74="","",IF(J74&gt;=0.8,"Bankable portfolio",IF(J74&gt;=0.5,"Return to step 2","Rework")))</f>
        <v/>
      </c>
    </row>
    <row r="75" customFormat="false" ht="15" hidden="false" customHeight="true" outlineLevel="0" collapsed="false">
      <c r="A75" s="30"/>
      <c r="H75" s="31"/>
      <c r="I75" s="9" t="str">
        <f aca="false">IF(A75="","",COUNTIFS(ps_pid,A75,ps_sub,"PP1.1"))</f>
        <v/>
      </c>
      <c r="J75" s="29" t="str">
        <f aca="false">IF(A75="","",IFERROR(SUMIFS(ps_points,ps_pid,A75)/SUMIFS(ps_weight,ps_pid,A75),""))</f>
        <v/>
      </c>
      <c r="K75" s="5" t="str">
        <f aca="false">IF(J75="","",IF(J75&gt;=0.8,"Bankable portfolio",IF(J75&gt;=0.5,"Return to step 2","Rework")))</f>
        <v/>
      </c>
    </row>
    <row r="76" customFormat="false" ht="15" hidden="false" customHeight="true" outlineLevel="0" collapsed="false">
      <c r="A76" s="30"/>
      <c r="H76" s="31"/>
      <c r="I76" s="9" t="str">
        <f aca="false">IF(A76="","",COUNTIFS(ps_pid,A76,ps_sub,"PP1.1"))</f>
        <v/>
      </c>
      <c r="J76" s="29" t="str">
        <f aca="false">IF(A76="","",IFERROR(SUMIFS(ps_points,ps_pid,A76)/SUMIFS(ps_weight,ps_pid,A76),""))</f>
        <v/>
      </c>
      <c r="K76" s="5" t="str">
        <f aca="false">IF(J76="","",IF(J76&gt;=0.8,"Bankable portfolio",IF(J76&gt;=0.5,"Return to step 2","Rework")))</f>
        <v/>
      </c>
    </row>
    <row r="77" customFormat="false" ht="15" hidden="false" customHeight="true" outlineLevel="0" collapsed="false">
      <c r="A77" s="30"/>
      <c r="H77" s="31"/>
      <c r="I77" s="9" t="str">
        <f aca="false">IF(A77="","",COUNTIFS(ps_pid,A77,ps_sub,"PP1.1"))</f>
        <v/>
      </c>
      <c r="J77" s="29" t="str">
        <f aca="false">IF(A77="","",IFERROR(SUMIFS(ps_points,ps_pid,A77)/SUMIFS(ps_weight,ps_pid,A77),""))</f>
        <v/>
      </c>
      <c r="K77" s="5" t="str">
        <f aca="false">IF(J77="","",IF(J77&gt;=0.8,"Bankable portfolio",IF(J77&gt;=0.5,"Return to step 2","Rework")))</f>
        <v/>
      </c>
    </row>
    <row r="78" customFormat="false" ht="15" hidden="false" customHeight="true" outlineLevel="0" collapsed="false">
      <c r="A78" s="30"/>
      <c r="H78" s="31"/>
      <c r="I78" s="9" t="str">
        <f aca="false">IF(A78="","",COUNTIFS(ps_pid,A78,ps_sub,"PP1.1"))</f>
        <v/>
      </c>
      <c r="J78" s="29" t="str">
        <f aca="false">IF(A78="","",IFERROR(SUMIFS(ps_points,ps_pid,A78)/SUMIFS(ps_weight,ps_pid,A78),""))</f>
        <v/>
      </c>
      <c r="K78" s="5" t="str">
        <f aca="false">IF(J78="","",IF(J78&gt;=0.8,"Bankable portfolio",IF(J78&gt;=0.5,"Return to step 2","Rework")))</f>
        <v/>
      </c>
    </row>
    <row r="79" customFormat="false" ht="15" hidden="false" customHeight="true" outlineLevel="0" collapsed="false">
      <c r="A79" s="30"/>
      <c r="H79" s="31"/>
      <c r="I79" s="9" t="str">
        <f aca="false">IF(A79="","",COUNTIFS(ps_pid,A79,ps_sub,"PP1.1"))</f>
        <v/>
      </c>
      <c r="J79" s="29" t="str">
        <f aca="false">IF(A79="","",IFERROR(SUMIFS(ps_points,ps_pid,A79)/SUMIFS(ps_weight,ps_pid,A79),""))</f>
        <v/>
      </c>
      <c r="K79" s="5" t="str">
        <f aca="false">IF(J79="","",IF(J79&gt;=0.8,"Bankable portfolio",IF(J79&gt;=0.5,"Return to step 2","Rework")))</f>
        <v/>
      </c>
    </row>
    <row r="80" customFormat="false" ht="15" hidden="false" customHeight="true" outlineLevel="0" collapsed="false">
      <c r="A80" s="30"/>
      <c r="H80" s="31"/>
      <c r="I80" s="9" t="str">
        <f aca="false">IF(A80="","",COUNTIFS(ps_pid,A80,ps_sub,"PP1.1"))</f>
        <v/>
      </c>
      <c r="J80" s="29" t="str">
        <f aca="false">IF(A80="","",IFERROR(SUMIFS(ps_points,ps_pid,A80)/SUMIFS(ps_weight,ps_pid,A80),""))</f>
        <v/>
      </c>
      <c r="K80" s="5" t="str">
        <f aca="false">IF(J80="","",IF(J80&gt;=0.8,"Bankable portfolio",IF(J80&gt;=0.5,"Return to step 2","Rework")))</f>
        <v/>
      </c>
    </row>
    <row r="81" customFormat="false" ht="15" hidden="false" customHeight="true" outlineLevel="0" collapsed="false">
      <c r="A81" s="30"/>
      <c r="H81" s="31"/>
      <c r="I81" s="9" t="str">
        <f aca="false">IF(A81="","",COUNTIFS(ps_pid,A81,ps_sub,"PP1.1"))</f>
        <v/>
      </c>
      <c r="J81" s="29" t="str">
        <f aca="false">IF(A81="","",IFERROR(SUMIFS(ps_points,ps_pid,A81)/SUMIFS(ps_weight,ps_pid,A81),""))</f>
        <v/>
      </c>
      <c r="K81" s="5" t="str">
        <f aca="false">IF(J81="","",IF(J81&gt;=0.8,"Bankable portfolio",IF(J81&gt;=0.5,"Return to step 2","Rework")))</f>
        <v/>
      </c>
    </row>
    <row r="82" customFormat="false" ht="15" hidden="false" customHeight="true" outlineLevel="0" collapsed="false">
      <c r="A82" s="30"/>
      <c r="H82" s="31"/>
      <c r="I82" s="9" t="str">
        <f aca="false">IF(A82="","",COUNTIFS(ps_pid,A82,ps_sub,"PP1.1"))</f>
        <v/>
      </c>
      <c r="J82" s="29" t="str">
        <f aca="false">IF(A82="","",IFERROR(SUMIFS(ps_points,ps_pid,A82)/SUMIFS(ps_weight,ps_pid,A82),""))</f>
        <v/>
      </c>
      <c r="K82" s="5" t="str">
        <f aca="false">IF(J82="","",IF(J82&gt;=0.8,"Bankable portfolio",IF(J82&gt;=0.5,"Return to step 2","Rework")))</f>
        <v/>
      </c>
    </row>
    <row r="83" customFormat="false" ht="15" hidden="false" customHeight="true" outlineLevel="0" collapsed="false">
      <c r="A83" s="30"/>
      <c r="H83" s="31"/>
      <c r="I83" s="9" t="str">
        <f aca="false">IF(A83="","",COUNTIFS(ps_pid,A83,ps_sub,"PP1.1"))</f>
        <v/>
      </c>
      <c r="J83" s="29" t="str">
        <f aca="false">IF(A83="","",IFERROR(SUMIFS(ps_points,ps_pid,A83)/SUMIFS(ps_weight,ps_pid,A83),""))</f>
        <v/>
      </c>
      <c r="K83" s="5" t="str">
        <f aca="false">IF(J83="","",IF(J83&gt;=0.8,"Bankable portfolio",IF(J83&gt;=0.5,"Return to step 2","Rework")))</f>
        <v/>
      </c>
    </row>
    <row r="84" customFormat="false" ht="15" hidden="false" customHeight="true" outlineLevel="0" collapsed="false">
      <c r="A84" s="30"/>
      <c r="H84" s="31"/>
      <c r="I84" s="9" t="str">
        <f aca="false">IF(A84="","",COUNTIFS(ps_pid,A84,ps_sub,"PP1.1"))</f>
        <v/>
      </c>
      <c r="J84" s="29" t="str">
        <f aca="false">IF(A84="","",IFERROR(SUMIFS(ps_points,ps_pid,A84)/SUMIFS(ps_weight,ps_pid,A84),""))</f>
        <v/>
      </c>
      <c r="K84" s="5" t="str">
        <f aca="false">IF(J84="","",IF(J84&gt;=0.8,"Bankable portfolio",IF(J84&gt;=0.5,"Return to step 2","Rework")))</f>
        <v/>
      </c>
    </row>
    <row r="85" customFormat="false" ht="15" hidden="false" customHeight="true" outlineLevel="0" collapsed="false">
      <c r="A85" s="30"/>
      <c r="H85" s="31"/>
      <c r="I85" s="9" t="str">
        <f aca="false">IF(A85="","",COUNTIFS(ps_pid,A85,ps_sub,"PP1.1"))</f>
        <v/>
      </c>
      <c r="J85" s="29" t="str">
        <f aca="false">IF(A85="","",IFERROR(SUMIFS(ps_points,ps_pid,A85)/SUMIFS(ps_weight,ps_pid,A85),""))</f>
        <v/>
      </c>
      <c r="K85" s="5" t="str">
        <f aca="false">IF(J85="","",IF(J85&gt;=0.8,"Bankable portfolio",IF(J85&gt;=0.5,"Return to step 2","Rework")))</f>
        <v/>
      </c>
    </row>
    <row r="86" customFormat="false" ht="15" hidden="false" customHeight="true" outlineLevel="0" collapsed="false">
      <c r="A86" s="30"/>
      <c r="H86" s="31"/>
      <c r="I86" s="9" t="str">
        <f aca="false">IF(A86="","",COUNTIFS(ps_pid,A86,ps_sub,"PP1.1"))</f>
        <v/>
      </c>
      <c r="J86" s="29" t="str">
        <f aca="false">IF(A86="","",IFERROR(SUMIFS(ps_points,ps_pid,A86)/SUMIFS(ps_weight,ps_pid,A86),""))</f>
        <v/>
      </c>
      <c r="K86" s="5" t="str">
        <f aca="false">IF(J86="","",IF(J86&gt;=0.8,"Bankable portfolio",IF(J86&gt;=0.5,"Return to step 2","Rework")))</f>
        <v/>
      </c>
    </row>
    <row r="87" customFormat="false" ht="15" hidden="false" customHeight="true" outlineLevel="0" collapsed="false">
      <c r="A87" s="30"/>
      <c r="H87" s="31"/>
      <c r="I87" s="9" t="str">
        <f aca="false">IF(A87="","",COUNTIFS(ps_pid,A87,ps_sub,"PP1.1"))</f>
        <v/>
      </c>
      <c r="J87" s="29" t="str">
        <f aca="false">IF(A87="","",IFERROR(SUMIFS(ps_points,ps_pid,A87)/SUMIFS(ps_weight,ps_pid,A87),""))</f>
        <v/>
      </c>
      <c r="K87" s="5" t="str">
        <f aca="false">IF(J87="","",IF(J87&gt;=0.8,"Bankable portfolio",IF(J87&gt;=0.5,"Return to step 2","Rework")))</f>
        <v/>
      </c>
    </row>
    <row r="88" customFormat="false" ht="15" hidden="false" customHeight="true" outlineLevel="0" collapsed="false">
      <c r="A88" s="30"/>
      <c r="H88" s="31"/>
      <c r="I88" s="9" t="str">
        <f aca="false">IF(A88="","",COUNTIFS(ps_pid,A88,ps_sub,"PP1.1"))</f>
        <v/>
      </c>
      <c r="J88" s="29" t="str">
        <f aca="false">IF(A88="","",IFERROR(SUMIFS(ps_points,ps_pid,A88)/SUMIFS(ps_weight,ps_pid,A88),""))</f>
        <v/>
      </c>
      <c r="K88" s="5" t="str">
        <f aca="false">IF(J88="","",IF(J88&gt;=0.8,"Bankable portfolio",IF(J88&gt;=0.5,"Return to step 2","Rework")))</f>
        <v/>
      </c>
    </row>
    <row r="89" customFormat="false" ht="15" hidden="false" customHeight="true" outlineLevel="0" collapsed="false">
      <c r="A89" s="30"/>
      <c r="H89" s="31"/>
      <c r="I89" s="9" t="str">
        <f aca="false">IF(A89="","",COUNTIFS(ps_pid,A89,ps_sub,"PP1.1"))</f>
        <v/>
      </c>
      <c r="J89" s="29" t="str">
        <f aca="false">IF(A89="","",IFERROR(SUMIFS(ps_points,ps_pid,A89)/SUMIFS(ps_weight,ps_pid,A89),""))</f>
        <v/>
      </c>
      <c r="K89" s="5" t="str">
        <f aca="false">IF(J89="","",IF(J89&gt;=0.8,"Bankable portfolio",IF(J89&gt;=0.5,"Return to step 2","Rework")))</f>
        <v/>
      </c>
    </row>
    <row r="90" customFormat="false" ht="15" hidden="false" customHeight="true" outlineLevel="0" collapsed="false">
      <c r="A90" s="30"/>
      <c r="H90" s="31"/>
      <c r="I90" s="9" t="str">
        <f aca="false">IF(A90="","",COUNTIFS(ps_pid,A90,ps_sub,"PP1.1"))</f>
        <v/>
      </c>
      <c r="J90" s="29" t="str">
        <f aca="false">IF(A90="","",IFERROR(SUMIFS(ps_points,ps_pid,A90)/SUMIFS(ps_weight,ps_pid,A90),""))</f>
        <v/>
      </c>
      <c r="K90" s="5" t="str">
        <f aca="false">IF(J90="","",IF(J90&gt;=0.8,"Bankable portfolio",IF(J90&gt;=0.5,"Return to step 2","Rework")))</f>
        <v/>
      </c>
    </row>
    <row r="91" customFormat="false" ht="15" hidden="false" customHeight="true" outlineLevel="0" collapsed="false">
      <c r="A91" s="30"/>
      <c r="H91" s="31"/>
      <c r="I91" s="9" t="str">
        <f aca="false">IF(A91="","",COUNTIFS(ps_pid,A91,ps_sub,"PP1.1"))</f>
        <v/>
      </c>
      <c r="J91" s="29" t="str">
        <f aca="false">IF(A91="","",IFERROR(SUMIFS(ps_points,ps_pid,A91)/SUMIFS(ps_weight,ps_pid,A91),""))</f>
        <v/>
      </c>
      <c r="K91" s="5" t="str">
        <f aca="false">IF(J91="","",IF(J91&gt;=0.8,"Bankable portfolio",IF(J91&gt;=0.5,"Return to step 2","Rework")))</f>
        <v/>
      </c>
    </row>
    <row r="92" customFormat="false" ht="15" hidden="false" customHeight="true" outlineLevel="0" collapsed="false">
      <c r="A92" s="30"/>
      <c r="H92" s="31"/>
      <c r="I92" s="9" t="str">
        <f aca="false">IF(A92="","",COUNTIFS(ps_pid,A92,ps_sub,"PP1.1"))</f>
        <v/>
      </c>
      <c r="J92" s="29" t="str">
        <f aca="false">IF(A92="","",IFERROR(SUMIFS(ps_points,ps_pid,A92)/SUMIFS(ps_weight,ps_pid,A92),""))</f>
        <v/>
      </c>
      <c r="K92" s="5" t="str">
        <f aca="false">IF(J92="","",IF(J92&gt;=0.8,"Bankable portfolio",IF(J92&gt;=0.5,"Return to step 2","Rework")))</f>
        <v/>
      </c>
    </row>
    <row r="93" customFormat="false" ht="15" hidden="false" customHeight="true" outlineLevel="0" collapsed="false">
      <c r="A93" s="30"/>
      <c r="H93" s="31"/>
      <c r="I93" s="9" t="str">
        <f aca="false">IF(A93="","",COUNTIFS(ps_pid,A93,ps_sub,"PP1.1"))</f>
        <v/>
      </c>
      <c r="J93" s="29" t="str">
        <f aca="false">IF(A93="","",IFERROR(SUMIFS(ps_points,ps_pid,A93)/SUMIFS(ps_weight,ps_pid,A93),""))</f>
        <v/>
      </c>
      <c r="K93" s="5" t="str">
        <f aca="false">IF(J93="","",IF(J93&gt;=0.8,"Bankable portfolio",IF(J93&gt;=0.5,"Return to step 2","Rework")))</f>
        <v/>
      </c>
    </row>
    <row r="94" customFormat="false" ht="15" hidden="false" customHeight="true" outlineLevel="0" collapsed="false">
      <c r="A94" s="30"/>
      <c r="H94" s="31"/>
      <c r="I94" s="9" t="str">
        <f aca="false">IF(A94="","",COUNTIFS(ps_pid,A94,ps_sub,"PP1.1"))</f>
        <v/>
      </c>
      <c r="J94" s="29" t="str">
        <f aca="false">IF(A94="","",IFERROR(SUMIFS(ps_points,ps_pid,A94)/SUMIFS(ps_weight,ps_pid,A94),""))</f>
        <v/>
      </c>
      <c r="K94" s="5" t="str">
        <f aca="false">IF(J94="","",IF(J94&gt;=0.8,"Bankable portfolio",IF(J94&gt;=0.5,"Return to step 2","Rework")))</f>
        <v/>
      </c>
    </row>
    <row r="95" customFormat="false" ht="15" hidden="false" customHeight="true" outlineLevel="0" collapsed="false">
      <c r="A95" s="30"/>
      <c r="H95" s="31"/>
      <c r="I95" s="9" t="str">
        <f aca="false">IF(A95="","",COUNTIFS(ps_pid,A95,ps_sub,"PP1.1"))</f>
        <v/>
      </c>
      <c r="J95" s="29" t="str">
        <f aca="false">IF(A95="","",IFERROR(SUMIFS(ps_points,ps_pid,A95)/SUMIFS(ps_weight,ps_pid,A95),""))</f>
        <v/>
      </c>
      <c r="K95" s="5" t="str">
        <f aca="false">IF(J95="","",IF(J95&gt;=0.8,"Bankable portfolio",IF(J95&gt;=0.5,"Return to step 2","Rework")))</f>
        <v/>
      </c>
    </row>
    <row r="96" customFormat="false" ht="15" hidden="false" customHeight="true" outlineLevel="0" collapsed="false">
      <c r="A96" s="30"/>
      <c r="H96" s="31"/>
      <c r="I96" s="9" t="str">
        <f aca="false">IF(A96="","",COUNTIFS(ps_pid,A96,ps_sub,"PP1.1"))</f>
        <v/>
      </c>
      <c r="J96" s="29" t="str">
        <f aca="false">IF(A96="","",IFERROR(SUMIFS(ps_points,ps_pid,A96)/SUMIFS(ps_weight,ps_pid,A96),""))</f>
        <v/>
      </c>
      <c r="K96" s="5" t="str">
        <f aca="false">IF(J96="","",IF(J96&gt;=0.8,"Bankable portfolio",IF(J96&gt;=0.5,"Return to step 2","Rework")))</f>
        <v/>
      </c>
    </row>
    <row r="97" customFormat="false" ht="15" hidden="false" customHeight="true" outlineLevel="0" collapsed="false">
      <c r="A97" s="30"/>
      <c r="H97" s="31"/>
      <c r="I97" s="9" t="str">
        <f aca="false">IF(A97="","",COUNTIFS(ps_pid,A97,ps_sub,"PP1.1"))</f>
        <v/>
      </c>
      <c r="J97" s="29" t="str">
        <f aca="false">IF(A97="","",IFERROR(SUMIFS(ps_points,ps_pid,A97)/SUMIFS(ps_weight,ps_pid,A97),""))</f>
        <v/>
      </c>
      <c r="K97" s="5" t="str">
        <f aca="false">IF(J97="","",IF(J97&gt;=0.8,"Bankable portfolio",IF(J97&gt;=0.5,"Return to step 2","Rework")))</f>
        <v/>
      </c>
    </row>
    <row r="98" customFormat="false" ht="15" hidden="false" customHeight="true" outlineLevel="0" collapsed="false">
      <c r="A98" s="30"/>
      <c r="H98" s="31"/>
      <c r="I98" s="9" t="str">
        <f aca="false">IF(A98="","",COUNTIFS(ps_pid,A98,ps_sub,"PP1.1"))</f>
        <v/>
      </c>
      <c r="J98" s="29" t="str">
        <f aca="false">IF(A98="","",IFERROR(SUMIFS(ps_points,ps_pid,A98)/SUMIFS(ps_weight,ps_pid,A98),""))</f>
        <v/>
      </c>
      <c r="K98" s="5" t="str">
        <f aca="false">IF(J98="","",IF(J98&gt;=0.8,"Bankable portfolio",IF(J98&gt;=0.5,"Return to step 2","Rework")))</f>
        <v/>
      </c>
    </row>
    <row r="99" customFormat="false" ht="15" hidden="false" customHeight="true" outlineLevel="0" collapsed="false">
      <c r="A99" s="30"/>
      <c r="H99" s="31"/>
      <c r="I99" s="9" t="str">
        <f aca="false">IF(A99="","",COUNTIFS(ps_pid,A99,ps_sub,"PP1.1"))</f>
        <v/>
      </c>
      <c r="J99" s="29" t="str">
        <f aca="false">IF(A99="","",IFERROR(SUMIFS(ps_points,ps_pid,A99)/SUMIFS(ps_weight,ps_pid,A99),""))</f>
        <v/>
      </c>
      <c r="K99" s="5" t="str">
        <f aca="false">IF(J99="","",IF(J99&gt;=0.8,"Bankable portfolio",IF(J99&gt;=0.5,"Return to step 2","Rework")))</f>
        <v/>
      </c>
    </row>
    <row r="100" customFormat="false" ht="15" hidden="false" customHeight="true" outlineLevel="0" collapsed="false">
      <c r="A100" s="30"/>
      <c r="H100" s="31"/>
      <c r="I100" s="9" t="str">
        <f aca="false">IF(A100="","",COUNTIFS(ps_pid,A100,ps_sub,"PP1.1"))</f>
        <v/>
      </c>
      <c r="J100" s="29" t="str">
        <f aca="false">IF(A100="","",IFERROR(SUMIFS(ps_points,ps_pid,A100)/SUMIFS(ps_weight,ps_pid,A100),""))</f>
        <v/>
      </c>
      <c r="K100" s="5" t="str">
        <f aca="false">IF(J100="","",IF(J100&gt;=0.8,"Bankable portfolio",IF(J100&gt;=0.5,"Return to step 2","Rework")))</f>
        <v/>
      </c>
    </row>
    <row r="101" customFormat="false" ht="15" hidden="false" customHeight="true" outlineLevel="0" collapsed="false">
      <c r="A101" s="30"/>
      <c r="H101" s="31"/>
      <c r="I101" s="9" t="str">
        <f aca="false">IF(A101="","",COUNTIFS(ps_pid,A101,ps_sub,"PP1.1"))</f>
        <v/>
      </c>
      <c r="J101" s="29" t="str">
        <f aca="false">IF(A101="","",IFERROR(SUMIFS(ps_points,ps_pid,A101)/SUMIFS(ps_weight,ps_pid,A101),""))</f>
        <v/>
      </c>
      <c r="K101" s="5" t="str">
        <f aca="false">IF(J101="","",IF(J101&gt;=0.8,"Bankable portfolio",IF(J101&gt;=0.5,"Return to step 2","Rework")))</f>
        <v/>
      </c>
    </row>
    <row r="102" customFormat="false" ht="15" hidden="false" customHeight="true" outlineLevel="0" collapsed="false">
      <c r="A102" s="30"/>
      <c r="H102" s="31"/>
      <c r="I102" s="9" t="str">
        <f aca="false">IF(A102="","",COUNTIFS(ps_pid,A102,ps_sub,"PP1.1"))</f>
        <v/>
      </c>
      <c r="J102" s="29" t="str">
        <f aca="false">IF(A102="","",IFERROR(SUMIFS(ps_points,ps_pid,A102)/SUMIFS(ps_weight,ps_pid,A102),""))</f>
        <v/>
      </c>
      <c r="K102" s="5" t="str">
        <f aca="false">IF(J102="","",IF(J102&gt;=0.8,"Bankable portfolio",IF(J102&gt;=0.5,"Return to step 2","Rework")))</f>
        <v/>
      </c>
    </row>
    <row r="103" customFormat="false" ht="15" hidden="false" customHeight="true" outlineLevel="0" collapsed="false">
      <c r="A103" s="30"/>
      <c r="H103" s="31"/>
      <c r="I103" s="9" t="str">
        <f aca="false">IF(A103="","",COUNTIFS(ps_pid,A103,ps_sub,"PP1.1"))</f>
        <v/>
      </c>
      <c r="J103" s="29" t="str">
        <f aca="false">IF(A103="","",IFERROR(SUMIFS(ps_points,ps_pid,A103)/SUMIFS(ps_weight,ps_pid,A103),""))</f>
        <v/>
      </c>
      <c r="K103" s="5" t="str">
        <f aca="false">IF(J103="","",IF(J103&gt;=0.8,"Bankable portfolio",IF(J103&gt;=0.5,"Return to step 2","Rework")))</f>
        <v/>
      </c>
    </row>
    <row r="104" customFormat="false" ht="15" hidden="false" customHeight="true" outlineLevel="0" collapsed="false">
      <c r="A104" s="30"/>
      <c r="H104" s="31"/>
      <c r="I104" s="9" t="str">
        <f aca="false">IF(A104="","",COUNTIFS(ps_pid,A104,ps_sub,"PP1.1"))</f>
        <v/>
      </c>
      <c r="J104" s="29" t="str">
        <f aca="false">IF(A104="","",IFERROR(SUMIFS(ps_points,ps_pid,A104)/SUMIFS(ps_weight,ps_pid,A104),""))</f>
        <v/>
      </c>
      <c r="K104" s="5" t="str">
        <f aca="false">IF(J104="","",IF(J104&gt;=0.8,"Bankable portfolio",IF(J104&gt;=0.5,"Return to step 2","Rework")))</f>
        <v/>
      </c>
    </row>
    <row r="105" customFormat="false" ht="15" hidden="false" customHeight="true" outlineLevel="0" collapsed="false">
      <c r="A105" s="30"/>
      <c r="H105" s="31"/>
      <c r="I105" s="9" t="str">
        <f aca="false">IF(A105="","",COUNTIFS(ps_pid,A105,ps_sub,"PP1.1"))</f>
        <v/>
      </c>
      <c r="J105" s="29" t="str">
        <f aca="false">IF(A105="","",IFERROR(SUMIFS(ps_points,ps_pid,A105)/SUMIFS(ps_weight,ps_pid,A105),""))</f>
        <v/>
      </c>
      <c r="K105" s="5" t="str">
        <f aca="false">IF(J105="","",IF(J105&gt;=0.8,"Bankable portfolio",IF(J105&gt;=0.5,"Return to step 2","Rework")))</f>
        <v/>
      </c>
    </row>
    <row r="106" customFormat="false" ht="15" hidden="false" customHeight="true" outlineLevel="0" collapsed="false">
      <c r="A106" s="30"/>
      <c r="H106" s="31"/>
      <c r="I106" s="9" t="str">
        <f aca="false">IF(A106="","",COUNTIFS(ps_pid,A106,ps_sub,"PP1.1"))</f>
        <v/>
      </c>
      <c r="J106" s="29" t="str">
        <f aca="false">IF(A106="","",IFERROR(SUMIFS(ps_points,ps_pid,A106)/SUMIFS(ps_weight,ps_pid,A106),""))</f>
        <v/>
      </c>
      <c r="K106" s="5" t="str">
        <f aca="false">IF(J106="","",IF(J106&gt;=0.8,"Bankable portfolio",IF(J106&gt;=0.5,"Return to step 2","Rework")))</f>
        <v/>
      </c>
    </row>
    <row r="107" customFormat="false" ht="15" hidden="false" customHeight="true" outlineLevel="0" collapsed="false">
      <c r="A107" s="30"/>
      <c r="H107" s="31"/>
      <c r="I107" s="9" t="str">
        <f aca="false">IF(A107="","",COUNTIFS(ps_pid,A107,ps_sub,"PP1.1"))</f>
        <v/>
      </c>
      <c r="J107" s="29" t="str">
        <f aca="false">IF(A107="","",IFERROR(SUMIFS(ps_points,ps_pid,A107)/SUMIFS(ps_weight,ps_pid,A107),""))</f>
        <v/>
      </c>
      <c r="K107" s="5" t="str">
        <f aca="false">IF(J107="","",IF(J107&gt;=0.8,"Bankable portfolio",IF(J107&gt;=0.5,"Return to step 2","Rework")))</f>
        <v/>
      </c>
    </row>
    <row r="108" customFormat="false" ht="15" hidden="false" customHeight="true" outlineLevel="0" collapsed="false">
      <c r="A108" s="30"/>
      <c r="H108" s="31"/>
      <c r="I108" s="9" t="str">
        <f aca="false">IF(A108="","",COUNTIFS(ps_pid,A108,ps_sub,"PP1.1"))</f>
        <v/>
      </c>
      <c r="J108" s="29" t="str">
        <f aca="false">IF(A108="","",IFERROR(SUMIFS(ps_points,ps_pid,A108)/SUMIFS(ps_weight,ps_pid,A108),""))</f>
        <v/>
      </c>
      <c r="K108" s="5" t="str">
        <f aca="false">IF(J108="","",IF(J108&gt;=0.8,"Bankable portfolio",IF(J108&gt;=0.5,"Return to step 2","Rework")))</f>
        <v/>
      </c>
    </row>
    <row r="109" customFormat="false" ht="15" hidden="false" customHeight="true" outlineLevel="0" collapsed="false">
      <c r="A109" s="30"/>
      <c r="H109" s="31"/>
      <c r="I109" s="9" t="str">
        <f aca="false">IF(A109="","",COUNTIFS(ps_pid,A109,ps_sub,"PP1.1"))</f>
        <v/>
      </c>
      <c r="J109" s="29" t="str">
        <f aca="false">IF(A109="","",IFERROR(SUMIFS(ps_points,ps_pid,A109)/SUMIFS(ps_weight,ps_pid,A109),""))</f>
        <v/>
      </c>
      <c r="K109" s="5" t="str">
        <f aca="false">IF(J109="","",IF(J109&gt;=0.8,"Bankable portfolio",IF(J109&gt;=0.5,"Return to step 2","Rework")))</f>
        <v/>
      </c>
    </row>
    <row r="110" customFormat="false" ht="15" hidden="false" customHeight="true" outlineLevel="0" collapsed="false">
      <c r="A110" s="30"/>
      <c r="H110" s="31"/>
      <c r="I110" s="9" t="str">
        <f aca="false">IF(A110="","",COUNTIFS(ps_pid,A110,ps_sub,"PP1.1"))</f>
        <v/>
      </c>
      <c r="J110" s="29" t="str">
        <f aca="false">IF(A110="","",IFERROR(SUMIFS(ps_points,ps_pid,A110)/SUMIFS(ps_weight,ps_pid,A110),""))</f>
        <v/>
      </c>
      <c r="K110" s="5" t="str">
        <f aca="false">IF(J110="","",IF(J110&gt;=0.8,"Bankable portfolio",IF(J110&gt;=0.5,"Return to step 2","Rework")))</f>
        <v/>
      </c>
    </row>
    <row r="111" customFormat="false" ht="15" hidden="false" customHeight="true" outlineLevel="0" collapsed="false">
      <c r="A111" s="30"/>
      <c r="H111" s="31"/>
      <c r="I111" s="9" t="str">
        <f aca="false">IF(A111="","",COUNTIFS(ps_pid,A111,ps_sub,"PP1.1"))</f>
        <v/>
      </c>
      <c r="J111" s="29" t="str">
        <f aca="false">IF(A111="","",IFERROR(SUMIFS(ps_points,ps_pid,A111)/SUMIFS(ps_weight,ps_pid,A111),""))</f>
        <v/>
      </c>
      <c r="K111" s="5" t="str">
        <f aca="false">IF(J111="","",IF(J111&gt;=0.8,"Bankable portfolio",IF(J111&gt;=0.5,"Return to step 2","Rework")))</f>
        <v/>
      </c>
    </row>
    <row r="112" customFormat="false" ht="15" hidden="false" customHeight="true" outlineLevel="0" collapsed="false">
      <c r="A112" s="30"/>
      <c r="H112" s="31"/>
      <c r="I112" s="9" t="str">
        <f aca="false">IF(A112="","",COUNTIFS(ps_pid,A112,ps_sub,"PP1.1"))</f>
        <v/>
      </c>
      <c r="J112" s="29" t="str">
        <f aca="false">IF(A112="","",IFERROR(SUMIFS(ps_points,ps_pid,A112)/SUMIFS(ps_weight,ps_pid,A112),""))</f>
        <v/>
      </c>
      <c r="K112" s="5" t="str">
        <f aca="false">IF(J112="","",IF(J112&gt;=0.8,"Bankable portfolio",IF(J112&gt;=0.5,"Return to step 2","Rework")))</f>
        <v/>
      </c>
    </row>
    <row r="113" customFormat="false" ht="15" hidden="false" customHeight="true" outlineLevel="0" collapsed="false">
      <c r="A113" s="30"/>
      <c r="H113" s="31"/>
      <c r="I113" s="9" t="str">
        <f aca="false">IF(A113="","",COUNTIFS(ps_pid,A113,ps_sub,"PP1.1"))</f>
        <v/>
      </c>
      <c r="J113" s="29" t="str">
        <f aca="false">IF(A113="","",IFERROR(SUMIFS(ps_points,ps_pid,A113)/SUMIFS(ps_weight,ps_pid,A113),""))</f>
        <v/>
      </c>
      <c r="K113" s="5" t="str">
        <f aca="false">IF(J113="","",IF(J113&gt;=0.8,"Bankable portfolio",IF(J113&gt;=0.5,"Return to step 2","Rework")))</f>
        <v/>
      </c>
    </row>
    <row r="114" customFormat="false" ht="15" hidden="false" customHeight="true" outlineLevel="0" collapsed="false">
      <c r="A114" s="30"/>
      <c r="H114" s="31"/>
      <c r="I114" s="9" t="str">
        <f aca="false">IF(A114="","",COUNTIFS(ps_pid,A114,ps_sub,"PP1.1"))</f>
        <v/>
      </c>
      <c r="J114" s="29" t="str">
        <f aca="false">IF(A114="","",IFERROR(SUMIFS(ps_points,ps_pid,A114)/SUMIFS(ps_weight,ps_pid,A114),""))</f>
        <v/>
      </c>
      <c r="K114" s="5" t="str">
        <f aca="false">IF(J114="","",IF(J114&gt;=0.8,"Bankable portfolio",IF(J114&gt;=0.5,"Return to step 2","Rework")))</f>
        <v/>
      </c>
    </row>
    <row r="115" customFormat="false" ht="15" hidden="false" customHeight="true" outlineLevel="0" collapsed="false">
      <c r="A115" s="30"/>
      <c r="H115" s="31"/>
      <c r="I115" s="9" t="str">
        <f aca="false">IF(A115="","",COUNTIFS(ps_pid,A115,ps_sub,"PP1.1"))</f>
        <v/>
      </c>
      <c r="J115" s="29" t="str">
        <f aca="false">IF(A115="","",IFERROR(SUMIFS(ps_points,ps_pid,A115)/SUMIFS(ps_weight,ps_pid,A115),""))</f>
        <v/>
      </c>
      <c r="K115" s="5" t="str">
        <f aca="false">IF(J115="","",IF(J115&gt;=0.8,"Bankable portfolio",IF(J115&gt;=0.5,"Return to step 2","Rework")))</f>
        <v/>
      </c>
    </row>
    <row r="116" customFormat="false" ht="15" hidden="false" customHeight="true" outlineLevel="0" collapsed="false">
      <c r="A116" s="30"/>
      <c r="H116" s="31"/>
      <c r="I116" s="9" t="str">
        <f aca="false">IF(A116="","",COUNTIFS(ps_pid,A116,ps_sub,"PP1.1"))</f>
        <v/>
      </c>
      <c r="J116" s="29" t="str">
        <f aca="false">IF(A116="","",IFERROR(SUMIFS(ps_points,ps_pid,A116)/SUMIFS(ps_weight,ps_pid,A116),""))</f>
        <v/>
      </c>
      <c r="K116" s="5" t="str">
        <f aca="false">IF(J116="","",IF(J116&gt;=0.8,"Bankable portfolio",IF(J116&gt;=0.5,"Return to step 2","Rework")))</f>
        <v/>
      </c>
    </row>
    <row r="117" customFormat="false" ht="15" hidden="false" customHeight="true" outlineLevel="0" collapsed="false">
      <c r="A117" s="30"/>
      <c r="H117" s="31"/>
      <c r="I117" s="9" t="str">
        <f aca="false">IF(A117="","",COUNTIFS(ps_pid,A117,ps_sub,"PP1.1"))</f>
        <v/>
      </c>
      <c r="J117" s="29" t="str">
        <f aca="false">IF(A117="","",IFERROR(SUMIFS(ps_points,ps_pid,A117)/SUMIFS(ps_weight,ps_pid,A117),""))</f>
        <v/>
      </c>
      <c r="K117" s="5" t="str">
        <f aca="false">IF(J117="","",IF(J117&gt;=0.8,"Bankable portfolio",IF(J117&gt;=0.5,"Return to step 2","Rework")))</f>
        <v/>
      </c>
    </row>
    <row r="118" customFormat="false" ht="15" hidden="false" customHeight="true" outlineLevel="0" collapsed="false">
      <c r="A118" s="30"/>
      <c r="H118" s="31"/>
      <c r="I118" s="9" t="str">
        <f aca="false">IF(A118="","",COUNTIFS(ps_pid,A118,ps_sub,"PP1.1"))</f>
        <v/>
      </c>
      <c r="J118" s="29" t="str">
        <f aca="false">IF(A118="","",IFERROR(SUMIFS(ps_points,ps_pid,A118)/SUMIFS(ps_weight,ps_pid,A118),""))</f>
        <v/>
      </c>
      <c r="K118" s="5" t="str">
        <f aca="false">IF(J118="","",IF(J118&gt;=0.8,"Bankable portfolio",IF(J118&gt;=0.5,"Return to step 2","Rework")))</f>
        <v/>
      </c>
    </row>
    <row r="119" customFormat="false" ht="15" hidden="false" customHeight="true" outlineLevel="0" collapsed="false">
      <c r="A119" s="30"/>
      <c r="H119" s="31"/>
      <c r="I119" s="9" t="str">
        <f aca="false">IF(A119="","",COUNTIFS(ps_pid,A119,ps_sub,"PP1.1"))</f>
        <v/>
      </c>
      <c r="J119" s="29" t="str">
        <f aca="false">IF(A119="","",IFERROR(SUMIFS(ps_points,ps_pid,A119)/SUMIFS(ps_weight,ps_pid,A119),""))</f>
        <v/>
      </c>
      <c r="K119" s="5" t="str">
        <f aca="false">IF(J119="","",IF(J119&gt;=0.8,"Bankable portfolio",IF(J119&gt;=0.5,"Return to step 2","Rework")))</f>
        <v/>
      </c>
    </row>
    <row r="120" customFormat="false" ht="15" hidden="false" customHeight="true" outlineLevel="0" collapsed="false">
      <c r="A120" s="30"/>
      <c r="H120" s="31"/>
      <c r="I120" s="9" t="str">
        <f aca="false">IF(A120="","",COUNTIFS(ps_pid,A120,ps_sub,"PP1.1"))</f>
        <v/>
      </c>
      <c r="J120" s="29" t="str">
        <f aca="false">IF(A120="","",IFERROR(SUMIFS(ps_points,ps_pid,A120)/SUMIFS(ps_weight,ps_pid,A120),""))</f>
        <v/>
      </c>
      <c r="K120" s="5" t="str">
        <f aca="false">IF(J120="","",IF(J120&gt;=0.8,"Bankable portfolio",IF(J120&gt;=0.5,"Return to step 2","Rework")))</f>
        <v/>
      </c>
    </row>
    <row r="121" customFormat="false" ht="15" hidden="false" customHeight="true" outlineLevel="0" collapsed="false">
      <c r="A121" s="30"/>
      <c r="H121" s="31"/>
      <c r="I121" s="9" t="str">
        <f aca="false">IF(A121="","",COUNTIFS(ps_pid,A121,ps_sub,"PP1.1"))</f>
        <v/>
      </c>
      <c r="J121" s="29" t="str">
        <f aca="false">IF(A121="","",IFERROR(SUMIFS(ps_points,ps_pid,A121)/SUMIFS(ps_weight,ps_pid,A121),""))</f>
        <v/>
      </c>
      <c r="K121" s="5" t="str">
        <f aca="false">IF(J121="","",IF(J121&gt;=0.8,"Bankable portfolio",IF(J121&gt;=0.5,"Return to step 2","Rework")))</f>
        <v/>
      </c>
    </row>
    <row r="122" customFormat="false" ht="15" hidden="false" customHeight="true" outlineLevel="0" collapsed="false">
      <c r="A122" s="30"/>
      <c r="H122" s="31"/>
      <c r="I122" s="9" t="str">
        <f aca="false">IF(A122="","",COUNTIFS(ps_pid,A122,ps_sub,"PP1.1"))</f>
        <v/>
      </c>
      <c r="J122" s="29" t="str">
        <f aca="false">IF(A122="","",IFERROR(SUMIFS(ps_points,ps_pid,A122)/SUMIFS(ps_weight,ps_pid,A122),""))</f>
        <v/>
      </c>
      <c r="K122" s="5" t="str">
        <f aca="false">IF(J122="","",IF(J122&gt;=0.8,"Bankable portfolio",IF(J122&gt;=0.5,"Return to step 2","Rework")))</f>
        <v/>
      </c>
    </row>
    <row r="123" customFormat="false" ht="15" hidden="false" customHeight="true" outlineLevel="0" collapsed="false">
      <c r="A123" s="30"/>
      <c r="H123" s="31"/>
      <c r="I123" s="9" t="str">
        <f aca="false">IF(A123="","",COUNTIFS(ps_pid,A123,ps_sub,"PP1.1"))</f>
        <v/>
      </c>
      <c r="J123" s="29" t="str">
        <f aca="false">IF(A123="","",IFERROR(SUMIFS(ps_points,ps_pid,A123)/SUMIFS(ps_weight,ps_pid,A123),""))</f>
        <v/>
      </c>
      <c r="K123" s="5" t="str">
        <f aca="false">IF(J123="","",IF(J123&gt;=0.8,"Bankable portfolio",IF(J123&gt;=0.5,"Return to step 2","Rework")))</f>
        <v/>
      </c>
    </row>
    <row r="124" customFormat="false" ht="15" hidden="false" customHeight="true" outlineLevel="0" collapsed="false">
      <c r="A124" s="30"/>
      <c r="H124" s="31"/>
      <c r="I124" s="9" t="str">
        <f aca="false">IF(A124="","",COUNTIFS(ps_pid,A124,ps_sub,"PP1.1"))</f>
        <v/>
      </c>
      <c r="J124" s="29" t="str">
        <f aca="false">IF(A124="","",IFERROR(SUMIFS(ps_points,ps_pid,A124)/SUMIFS(ps_weight,ps_pid,A124),""))</f>
        <v/>
      </c>
      <c r="K124" s="5" t="str">
        <f aca="false">IF(J124="","",IF(J124&gt;=0.8,"Bankable portfolio",IF(J124&gt;=0.5,"Return to step 2","Rework")))</f>
        <v/>
      </c>
    </row>
    <row r="125" customFormat="false" ht="15" hidden="false" customHeight="true" outlineLevel="0" collapsed="false">
      <c r="A125" s="30"/>
      <c r="H125" s="31"/>
      <c r="I125" s="9" t="str">
        <f aca="false">IF(A125="","",COUNTIFS(ps_pid,A125,ps_sub,"PP1.1"))</f>
        <v/>
      </c>
      <c r="J125" s="29" t="str">
        <f aca="false">IF(A125="","",IFERROR(SUMIFS(ps_points,ps_pid,A125)/SUMIFS(ps_weight,ps_pid,A125),""))</f>
        <v/>
      </c>
      <c r="K125" s="5" t="str">
        <f aca="false">IF(J125="","",IF(J125&gt;=0.8,"Bankable portfolio",IF(J125&gt;=0.5,"Return to step 2","Rework")))</f>
        <v/>
      </c>
    </row>
    <row r="126" customFormat="false" ht="15" hidden="false" customHeight="true" outlineLevel="0" collapsed="false">
      <c r="A126" s="30"/>
      <c r="H126" s="31"/>
      <c r="I126" s="9" t="str">
        <f aca="false">IF(A126="","",COUNTIFS(ps_pid,A126,ps_sub,"PP1.1"))</f>
        <v/>
      </c>
      <c r="J126" s="29" t="str">
        <f aca="false">IF(A126="","",IFERROR(SUMIFS(ps_points,ps_pid,A126)/SUMIFS(ps_weight,ps_pid,A126),""))</f>
        <v/>
      </c>
      <c r="K126" s="5" t="str">
        <f aca="false">IF(J126="","",IF(J126&gt;=0.8,"Bankable portfolio",IF(J126&gt;=0.5,"Return to step 2","Rework")))</f>
        <v/>
      </c>
    </row>
    <row r="127" customFormat="false" ht="15" hidden="false" customHeight="true" outlineLevel="0" collapsed="false">
      <c r="A127" s="30"/>
      <c r="H127" s="31"/>
      <c r="I127" s="9" t="str">
        <f aca="false">IF(A127="","",COUNTIFS(ps_pid,A127,ps_sub,"PP1.1"))</f>
        <v/>
      </c>
      <c r="J127" s="29" t="str">
        <f aca="false">IF(A127="","",IFERROR(SUMIFS(ps_points,ps_pid,A127)/SUMIFS(ps_weight,ps_pid,A127),""))</f>
        <v/>
      </c>
      <c r="K127" s="5" t="str">
        <f aca="false">IF(J127="","",IF(J127&gt;=0.8,"Bankable portfolio",IF(J127&gt;=0.5,"Return to step 2","Rework")))</f>
        <v/>
      </c>
    </row>
    <row r="128" customFormat="false" ht="15" hidden="false" customHeight="true" outlineLevel="0" collapsed="false">
      <c r="A128" s="30"/>
      <c r="H128" s="31"/>
      <c r="I128" s="9" t="str">
        <f aca="false">IF(A128="","",COUNTIFS(ps_pid,A128,ps_sub,"PP1.1"))</f>
        <v/>
      </c>
      <c r="J128" s="29" t="str">
        <f aca="false">IF(A128="","",IFERROR(SUMIFS(ps_points,ps_pid,A128)/SUMIFS(ps_weight,ps_pid,A128),""))</f>
        <v/>
      </c>
      <c r="K128" s="5" t="str">
        <f aca="false">IF(J128="","",IF(J128&gt;=0.8,"Bankable portfolio",IF(J128&gt;=0.5,"Return to step 2","Rework")))</f>
        <v/>
      </c>
    </row>
    <row r="129" customFormat="false" ht="15" hidden="false" customHeight="true" outlineLevel="0" collapsed="false">
      <c r="A129" s="30"/>
      <c r="H129" s="31"/>
      <c r="I129" s="9" t="str">
        <f aca="false">IF(A129="","",COUNTIFS(ps_pid,A129,ps_sub,"PP1.1"))</f>
        <v/>
      </c>
      <c r="J129" s="29" t="str">
        <f aca="false">IF(A129="","",IFERROR(SUMIFS(ps_points,ps_pid,A129)/SUMIFS(ps_weight,ps_pid,A129),""))</f>
        <v/>
      </c>
      <c r="K129" s="5" t="str">
        <f aca="false">IF(J129="","",IF(J129&gt;=0.8,"Bankable portfolio",IF(J129&gt;=0.5,"Return to step 2","Rework")))</f>
        <v/>
      </c>
    </row>
    <row r="130" customFormat="false" ht="15" hidden="false" customHeight="true" outlineLevel="0" collapsed="false">
      <c r="A130" s="30"/>
      <c r="H130" s="31"/>
      <c r="I130" s="9" t="str">
        <f aca="false">IF(A130="","",COUNTIFS(ps_pid,A130,ps_sub,"PP1.1"))</f>
        <v/>
      </c>
      <c r="J130" s="29" t="str">
        <f aca="false">IF(A130="","",IFERROR(SUMIFS(ps_points,ps_pid,A130)/SUMIFS(ps_weight,ps_pid,A130),""))</f>
        <v/>
      </c>
      <c r="K130" s="5" t="str">
        <f aca="false">IF(J130="","",IF(J130&gt;=0.8,"Bankable portfolio",IF(J130&gt;=0.5,"Return to step 2","Rework")))</f>
        <v/>
      </c>
    </row>
    <row r="131" customFormat="false" ht="15" hidden="false" customHeight="true" outlineLevel="0" collapsed="false">
      <c r="A131" s="30"/>
      <c r="H131" s="31"/>
      <c r="I131" s="9" t="str">
        <f aca="false">IF(A131="","",COUNTIFS(ps_pid,A131,ps_sub,"PP1.1"))</f>
        <v/>
      </c>
      <c r="J131" s="29" t="str">
        <f aca="false">IF(A131="","",IFERROR(SUMIFS(ps_points,ps_pid,A131)/SUMIFS(ps_weight,ps_pid,A131),""))</f>
        <v/>
      </c>
      <c r="K131" s="5" t="str">
        <f aca="false">IF(J131="","",IF(J131&gt;=0.8,"Bankable portfolio",IF(J131&gt;=0.5,"Return to step 2","Rework")))</f>
        <v/>
      </c>
    </row>
    <row r="132" customFormat="false" ht="15" hidden="false" customHeight="true" outlineLevel="0" collapsed="false">
      <c r="A132" s="30"/>
      <c r="H132" s="31"/>
      <c r="I132" s="9" t="str">
        <f aca="false">IF(A132="","",COUNTIFS(ps_pid,A132,ps_sub,"PP1.1"))</f>
        <v/>
      </c>
      <c r="J132" s="29" t="str">
        <f aca="false">IF(A132="","",IFERROR(SUMIFS(ps_points,ps_pid,A132)/SUMIFS(ps_weight,ps_pid,A132),""))</f>
        <v/>
      </c>
      <c r="K132" s="5" t="str">
        <f aca="false">IF(J132="","",IF(J132&gt;=0.8,"Bankable portfolio",IF(J132&gt;=0.5,"Return to step 2","Rework")))</f>
        <v/>
      </c>
    </row>
    <row r="133" customFormat="false" ht="15" hidden="false" customHeight="true" outlineLevel="0" collapsed="false">
      <c r="A133" s="30"/>
      <c r="H133" s="31"/>
      <c r="I133" s="9" t="str">
        <f aca="false">IF(A133="","",COUNTIFS(ps_pid,A133,ps_sub,"PP1.1"))</f>
        <v/>
      </c>
      <c r="J133" s="29" t="str">
        <f aca="false">IF(A133="","",IFERROR(SUMIFS(ps_points,ps_pid,A133)/SUMIFS(ps_weight,ps_pid,A133),""))</f>
        <v/>
      </c>
      <c r="K133" s="5" t="str">
        <f aca="false">IF(J133="","",IF(J133&gt;=0.8,"Bankable portfolio",IF(J133&gt;=0.5,"Return to step 2","Rework")))</f>
        <v/>
      </c>
    </row>
    <row r="134" customFormat="false" ht="15" hidden="false" customHeight="true" outlineLevel="0" collapsed="false">
      <c r="A134" s="30"/>
      <c r="H134" s="31"/>
      <c r="I134" s="9" t="str">
        <f aca="false">IF(A134="","",COUNTIFS(ps_pid,A134,ps_sub,"PP1.1"))</f>
        <v/>
      </c>
      <c r="J134" s="29" t="str">
        <f aca="false">IF(A134="","",IFERROR(SUMIFS(ps_points,ps_pid,A134)/SUMIFS(ps_weight,ps_pid,A134),""))</f>
        <v/>
      </c>
      <c r="K134" s="5" t="str">
        <f aca="false">IF(J134="","",IF(J134&gt;=0.8,"Bankable portfolio",IF(J134&gt;=0.5,"Return to step 2","Rework")))</f>
        <v/>
      </c>
    </row>
    <row r="135" customFormat="false" ht="15" hidden="false" customHeight="true" outlineLevel="0" collapsed="false">
      <c r="A135" s="30"/>
      <c r="H135" s="31"/>
      <c r="I135" s="9" t="str">
        <f aca="false">IF(A135="","",COUNTIFS(ps_pid,A135,ps_sub,"PP1.1"))</f>
        <v/>
      </c>
      <c r="J135" s="29" t="str">
        <f aca="false">IF(A135="","",IFERROR(SUMIFS(ps_points,ps_pid,A135)/SUMIFS(ps_weight,ps_pid,A135),""))</f>
        <v/>
      </c>
      <c r="K135" s="5" t="str">
        <f aca="false">IF(J135="","",IF(J135&gt;=0.8,"Bankable portfolio",IF(J135&gt;=0.5,"Return to step 2","Rework")))</f>
        <v/>
      </c>
    </row>
    <row r="136" customFormat="false" ht="15" hidden="false" customHeight="true" outlineLevel="0" collapsed="false">
      <c r="A136" s="30"/>
      <c r="H136" s="31"/>
      <c r="I136" s="9" t="str">
        <f aca="false">IF(A136="","",COUNTIFS(ps_pid,A136,ps_sub,"PP1.1"))</f>
        <v/>
      </c>
      <c r="J136" s="29" t="str">
        <f aca="false">IF(A136="","",IFERROR(SUMIFS(ps_points,ps_pid,A136)/SUMIFS(ps_weight,ps_pid,A136),""))</f>
        <v/>
      </c>
      <c r="K136" s="5" t="str">
        <f aca="false">IF(J136="","",IF(J136&gt;=0.8,"Bankable portfolio",IF(J136&gt;=0.5,"Return to step 2","Rework")))</f>
        <v/>
      </c>
    </row>
    <row r="137" customFormat="false" ht="15" hidden="false" customHeight="true" outlineLevel="0" collapsed="false">
      <c r="A137" s="30"/>
      <c r="H137" s="31"/>
      <c r="I137" s="9" t="str">
        <f aca="false">IF(A137="","",COUNTIFS(ps_pid,A137,ps_sub,"PP1.1"))</f>
        <v/>
      </c>
      <c r="J137" s="29" t="str">
        <f aca="false">IF(A137="","",IFERROR(SUMIFS(ps_points,ps_pid,A137)/SUMIFS(ps_weight,ps_pid,A137),""))</f>
        <v/>
      </c>
      <c r="K137" s="5" t="str">
        <f aca="false">IF(J137="","",IF(J137&gt;=0.8,"Bankable portfolio",IF(J137&gt;=0.5,"Return to step 2","Rework")))</f>
        <v/>
      </c>
    </row>
    <row r="138" customFormat="false" ht="15" hidden="false" customHeight="true" outlineLevel="0" collapsed="false">
      <c r="A138" s="30"/>
      <c r="H138" s="31"/>
      <c r="I138" s="9" t="str">
        <f aca="false">IF(A138="","",COUNTIFS(ps_pid,A138,ps_sub,"PP1.1"))</f>
        <v/>
      </c>
      <c r="J138" s="29" t="str">
        <f aca="false">IF(A138="","",IFERROR(SUMIFS(ps_points,ps_pid,A138)/SUMIFS(ps_weight,ps_pid,A138),""))</f>
        <v/>
      </c>
      <c r="K138" s="5" t="str">
        <f aca="false">IF(J138="","",IF(J138&gt;=0.8,"Bankable portfolio",IF(J138&gt;=0.5,"Return to step 2","Rework")))</f>
        <v/>
      </c>
    </row>
    <row r="139" customFormat="false" ht="15" hidden="false" customHeight="true" outlineLevel="0" collapsed="false">
      <c r="A139" s="30"/>
      <c r="H139" s="31"/>
      <c r="I139" s="9" t="str">
        <f aca="false">IF(A139="","",COUNTIFS(ps_pid,A139,ps_sub,"PP1.1"))</f>
        <v/>
      </c>
      <c r="J139" s="29" t="str">
        <f aca="false">IF(A139="","",IFERROR(SUMIFS(ps_points,ps_pid,A139)/SUMIFS(ps_weight,ps_pid,A139),""))</f>
        <v/>
      </c>
      <c r="K139" s="5" t="str">
        <f aca="false">IF(J139="","",IF(J139&gt;=0.8,"Bankable portfolio",IF(J139&gt;=0.5,"Return to step 2","Rework")))</f>
        <v/>
      </c>
    </row>
    <row r="140" customFormat="false" ht="15" hidden="false" customHeight="true" outlineLevel="0" collapsed="false">
      <c r="A140" s="30"/>
      <c r="H140" s="31"/>
      <c r="I140" s="9" t="str">
        <f aca="false">IF(A140="","",COUNTIFS(ps_pid,A140,ps_sub,"PP1.1"))</f>
        <v/>
      </c>
      <c r="J140" s="29" t="str">
        <f aca="false">IF(A140="","",IFERROR(SUMIFS(ps_points,ps_pid,A140)/SUMIFS(ps_weight,ps_pid,A140),""))</f>
        <v/>
      </c>
      <c r="K140" s="5" t="str">
        <f aca="false">IF(J140="","",IF(J140&gt;=0.8,"Bankable portfolio",IF(J140&gt;=0.5,"Return to step 2","Rework")))</f>
        <v/>
      </c>
    </row>
    <row r="141" customFormat="false" ht="15" hidden="false" customHeight="true" outlineLevel="0" collapsed="false">
      <c r="A141" s="30"/>
      <c r="H141" s="31"/>
      <c r="I141" s="9" t="str">
        <f aca="false">IF(A141="","",COUNTIFS(ps_pid,A141,ps_sub,"PP1.1"))</f>
        <v/>
      </c>
      <c r="J141" s="29" t="str">
        <f aca="false">IF(A141="","",IFERROR(SUMIFS(ps_points,ps_pid,A141)/SUMIFS(ps_weight,ps_pid,A141),""))</f>
        <v/>
      </c>
      <c r="K141" s="5" t="str">
        <f aca="false">IF(J141="","",IF(J141&gt;=0.8,"Bankable portfolio",IF(J141&gt;=0.5,"Return to step 2","Rework")))</f>
        <v/>
      </c>
    </row>
    <row r="142" customFormat="false" ht="15" hidden="false" customHeight="true" outlineLevel="0" collapsed="false">
      <c r="A142" s="30"/>
      <c r="H142" s="31"/>
      <c r="I142" s="9" t="str">
        <f aca="false">IF(A142="","",COUNTIFS(ps_pid,A142,ps_sub,"PP1.1"))</f>
        <v/>
      </c>
      <c r="J142" s="29" t="str">
        <f aca="false">IF(A142="","",IFERROR(SUMIFS(ps_points,ps_pid,A142)/SUMIFS(ps_weight,ps_pid,A142),""))</f>
        <v/>
      </c>
      <c r="K142" s="5" t="str">
        <f aca="false">IF(J142="","",IF(J142&gt;=0.8,"Bankable portfolio",IF(J142&gt;=0.5,"Return to step 2","Rework")))</f>
        <v/>
      </c>
    </row>
    <row r="143" customFormat="false" ht="15" hidden="false" customHeight="true" outlineLevel="0" collapsed="false">
      <c r="A143" s="30"/>
      <c r="H143" s="31"/>
      <c r="I143" s="9" t="str">
        <f aca="false">IF(A143="","",COUNTIFS(ps_pid,A143,ps_sub,"PP1.1"))</f>
        <v/>
      </c>
      <c r="J143" s="29" t="str">
        <f aca="false">IF(A143="","",IFERROR(SUMIFS(ps_points,ps_pid,A143)/SUMIFS(ps_weight,ps_pid,A143),""))</f>
        <v/>
      </c>
      <c r="K143" s="5" t="str">
        <f aca="false">IF(J143="","",IF(J143&gt;=0.8,"Bankable portfolio",IF(J143&gt;=0.5,"Return to step 2","Rework")))</f>
        <v/>
      </c>
    </row>
    <row r="144" customFormat="false" ht="15" hidden="false" customHeight="true" outlineLevel="0" collapsed="false">
      <c r="A144" s="30"/>
      <c r="H144" s="31"/>
      <c r="I144" s="9" t="str">
        <f aca="false">IF(A144="","",COUNTIFS(ps_pid,A144,ps_sub,"PP1.1"))</f>
        <v/>
      </c>
      <c r="J144" s="29" t="str">
        <f aca="false">IF(A144="","",IFERROR(SUMIFS(ps_points,ps_pid,A144)/SUMIFS(ps_weight,ps_pid,A144),""))</f>
        <v/>
      </c>
      <c r="K144" s="5" t="str">
        <f aca="false">IF(J144="","",IF(J144&gt;=0.8,"Bankable portfolio",IF(J144&gt;=0.5,"Return to step 2","Rework")))</f>
        <v/>
      </c>
    </row>
    <row r="145" customFormat="false" ht="15" hidden="false" customHeight="true" outlineLevel="0" collapsed="false">
      <c r="A145" s="30"/>
      <c r="H145" s="31"/>
      <c r="I145" s="9" t="str">
        <f aca="false">IF(A145="","",COUNTIFS(ps_pid,A145,ps_sub,"PP1.1"))</f>
        <v/>
      </c>
      <c r="J145" s="29" t="str">
        <f aca="false">IF(A145="","",IFERROR(SUMIFS(ps_points,ps_pid,A145)/SUMIFS(ps_weight,ps_pid,A145),""))</f>
        <v/>
      </c>
      <c r="K145" s="5" t="str">
        <f aca="false">IF(J145="","",IF(J145&gt;=0.8,"Bankable portfolio",IF(J145&gt;=0.5,"Return to step 2","Rework")))</f>
        <v/>
      </c>
    </row>
    <row r="146" customFormat="false" ht="15" hidden="false" customHeight="true" outlineLevel="0" collapsed="false">
      <c r="A146" s="30"/>
      <c r="H146" s="31"/>
      <c r="I146" s="9" t="str">
        <f aca="false">IF(A146="","",COUNTIFS(ps_pid,A146,ps_sub,"PP1.1"))</f>
        <v/>
      </c>
      <c r="J146" s="29" t="str">
        <f aca="false">IF(A146="","",IFERROR(SUMIFS(ps_points,ps_pid,A146)/SUMIFS(ps_weight,ps_pid,A146),""))</f>
        <v/>
      </c>
      <c r="K146" s="5" t="str">
        <f aca="false">IF(J146="","",IF(J146&gt;=0.8,"Bankable portfolio",IF(J146&gt;=0.5,"Return to step 2","Rework")))</f>
        <v/>
      </c>
    </row>
    <row r="147" customFormat="false" ht="15" hidden="false" customHeight="true" outlineLevel="0" collapsed="false">
      <c r="A147" s="30"/>
      <c r="H147" s="31"/>
      <c r="I147" s="9" t="str">
        <f aca="false">IF(A147="","",COUNTIFS(ps_pid,A147,ps_sub,"PP1.1"))</f>
        <v/>
      </c>
      <c r="J147" s="29" t="str">
        <f aca="false">IF(A147="","",IFERROR(SUMIFS(ps_points,ps_pid,A147)/SUMIFS(ps_weight,ps_pid,A147),""))</f>
        <v/>
      </c>
      <c r="K147" s="5" t="str">
        <f aca="false">IF(J147="","",IF(J147&gt;=0.8,"Bankable portfolio",IF(J147&gt;=0.5,"Return to step 2","Rework")))</f>
        <v/>
      </c>
    </row>
    <row r="148" customFormat="false" ht="15" hidden="false" customHeight="true" outlineLevel="0" collapsed="false">
      <c r="A148" s="30"/>
      <c r="H148" s="31"/>
      <c r="I148" s="9" t="str">
        <f aca="false">IF(A148="","",COUNTIFS(ps_pid,A148,ps_sub,"PP1.1"))</f>
        <v/>
      </c>
      <c r="J148" s="29" t="str">
        <f aca="false">IF(A148="","",IFERROR(SUMIFS(ps_points,ps_pid,A148)/SUMIFS(ps_weight,ps_pid,A148),""))</f>
        <v/>
      </c>
      <c r="K148" s="5" t="str">
        <f aca="false">IF(J148="","",IF(J148&gt;=0.8,"Bankable portfolio",IF(J148&gt;=0.5,"Return to step 2","Rework")))</f>
        <v/>
      </c>
    </row>
    <row r="149" customFormat="false" ht="15" hidden="false" customHeight="true" outlineLevel="0" collapsed="false">
      <c r="A149" s="30"/>
      <c r="H149" s="31"/>
      <c r="I149" s="9" t="str">
        <f aca="false">IF(A149="","",COUNTIFS(ps_pid,A149,ps_sub,"PP1.1"))</f>
        <v/>
      </c>
      <c r="J149" s="29" t="str">
        <f aca="false">IF(A149="","",IFERROR(SUMIFS(ps_points,ps_pid,A149)/SUMIFS(ps_weight,ps_pid,A149),""))</f>
        <v/>
      </c>
      <c r="K149" s="5" t="str">
        <f aca="false">IF(J149="","",IF(J149&gt;=0.8,"Bankable portfolio",IF(J149&gt;=0.5,"Return to step 2","Rework")))</f>
        <v/>
      </c>
    </row>
    <row r="150" customFormat="false" ht="15" hidden="false" customHeight="true" outlineLevel="0" collapsed="false">
      <c r="A150" s="30"/>
      <c r="H150" s="31"/>
      <c r="I150" s="9" t="str">
        <f aca="false">IF(A150="","",COUNTIFS(ps_pid,A150,ps_sub,"PP1.1"))</f>
        <v/>
      </c>
      <c r="J150" s="29" t="str">
        <f aca="false">IF(A150="","",IFERROR(SUMIFS(ps_points,ps_pid,A150)/SUMIFS(ps_weight,ps_pid,A150),""))</f>
        <v/>
      </c>
      <c r="K150" s="5" t="str">
        <f aca="false">IF(J150="","",IF(J150&gt;=0.8,"Bankable portfolio",IF(J150&gt;=0.5,"Return to step 2","Rework")))</f>
        <v/>
      </c>
    </row>
    <row r="151" customFormat="false" ht="15" hidden="false" customHeight="true" outlineLevel="0" collapsed="false">
      <c r="A151" s="30"/>
      <c r="H151" s="31"/>
      <c r="I151" s="9" t="str">
        <f aca="false">IF(A151="","",COUNTIFS(ps_pid,A151,ps_sub,"PP1.1"))</f>
        <v/>
      </c>
      <c r="J151" s="29" t="str">
        <f aca="false">IF(A151="","",IFERROR(SUMIFS(ps_points,ps_pid,A151)/SUMIFS(ps_weight,ps_pid,A151),""))</f>
        <v/>
      </c>
      <c r="K151" s="5" t="str">
        <f aca="false">IF(J151="","",IF(J151&gt;=0.8,"Bankable portfolio",IF(J151&gt;=0.5,"Return to step 2","Rework")))</f>
        <v/>
      </c>
    </row>
    <row r="152" customFormat="false" ht="15" hidden="false" customHeight="true" outlineLevel="0" collapsed="false">
      <c r="A152" s="30"/>
      <c r="H152" s="31"/>
      <c r="I152" s="9" t="str">
        <f aca="false">IF(A152="","",COUNTIFS(ps_pid,A152,ps_sub,"PP1.1"))</f>
        <v/>
      </c>
      <c r="J152" s="29" t="str">
        <f aca="false">IF(A152="","",IFERROR(SUMIFS(ps_points,ps_pid,A152)/SUMIFS(ps_weight,ps_pid,A152),""))</f>
        <v/>
      </c>
      <c r="K152" s="5" t="str">
        <f aca="false">IF(J152="","",IF(J152&gt;=0.8,"Bankable portfolio",IF(J152&gt;=0.5,"Return to step 2","Rework")))</f>
        <v/>
      </c>
    </row>
    <row r="153" customFormat="false" ht="15" hidden="false" customHeight="true" outlineLevel="0" collapsed="false">
      <c r="A153" s="30"/>
      <c r="H153" s="31"/>
      <c r="I153" s="9" t="str">
        <f aca="false">IF(A153="","",COUNTIFS(ps_pid,A153,ps_sub,"PP1.1"))</f>
        <v/>
      </c>
      <c r="J153" s="29" t="str">
        <f aca="false">IF(A153="","",IFERROR(SUMIFS(ps_points,ps_pid,A153)/SUMIFS(ps_weight,ps_pid,A153),""))</f>
        <v/>
      </c>
      <c r="K153" s="5" t="str">
        <f aca="false">IF(J153="","",IF(J153&gt;=0.8,"Bankable portfolio",IF(J153&gt;=0.5,"Return to step 2","Rework")))</f>
        <v/>
      </c>
    </row>
    <row r="154" customFormat="false" ht="15" hidden="false" customHeight="true" outlineLevel="0" collapsed="false">
      <c r="A154" s="30"/>
      <c r="H154" s="31"/>
      <c r="I154" s="9" t="str">
        <f aca="false">IF(A154="","",COUNTIFS(ps_pid,A154,ps_sub,"PP1.1"))</f>
        <v/>
      </c>
      <c r="J154" s="29" t="str">
        <f aca="false">IF(A154="","",IFERROR(SUMIFS(ps_points,ps_pid,A154)/SUMIFS(ps_weight,ps_pid,A154),""))</f>
        <v/>
      </c>
      <c r="K154" s="5" t="str">
        <f aca="false">IF(J154="","",IF(J154&gt;=0.8,"Bankable portfolio",IF(J154&gt;=0.5,"Return to step 2","Rework")))</f>
        <v/>
      </c>
    </row>
    <row r="155" customFormat="false" ht="15" hidden="false" customHeight="true" outlineLevel="0" collapsed="false">
      <c r="A155" s="30"/>
      <c r="H155" s="31"/>
      <c r="I155" s="9" t="str">
        <f aca="false">IF(A155="","",COUNTIFS(ps_pid,A155,ps_sub,"PP1.1"))</f>
        <v/>
      </c>
      <c r="J155" s="29" t="str">
        <f aca="false">IF(A155="","",IFERROR(SUMIFS(ps_points,ps_pid,A155)/SUMIFS(ps_weight,ps_pid,A155),""))</f>
        <v/>
      </c>
      <c r="K155" s="5" t="str">
        <f aca="false">IF(J155="","",IF(J155&gt;=0.8,"Bankable portfolio",IF(J155&gt;=0.5,"Return to step 2","Rework")))</f>
        <v/>
      </c>
    </row>
    <row r="156" customFormat="false" ht="15" hidden="false" customHeight="true" outlineLevel="0" collapsed="false">
      <c r="A156" s="30"/>
      <c r="H156" s="31"/>
      <c r="I156" s="9" t="str">
        <f aca="false">IF(A156="","",COUNTIFS(ps_pid,A156,ps_sub,"PP1.1"))</f>
        <v/>
      </c>
      <c r="J156" s="29" t="str">
        <f aca="false">IF(A156="","",IFERROR(SUMIFS(ps_points,ps_pid,A156)/SUMIFS(ps_weight,ps_pid,A156),""))</f>
        <v/>
      </c>
      <c r="K156" s="5" t="str">
        <f aca="false">IF(J156="","",IF(J156&gt;=0.8,"Bankable portfolio",IF(J156&gt;=0.5,"Return to step 2","Rework")))</f>
        <v/>
      </c>
    </row>
    <row r="157" customFormat="false" ht="15" hidden="false" customHeight="true" outlineLevel="0" collapsed="false">
      <c r="A157" s="30"/>
      <c r="H157" s="31"/>
      <c r="I157" s="9" t="str">
        <f aca="false">IF(A157="","",COUNTIFS(ps_pid,A157,ps_sub,"PP1.1"))</f>
        <v/>
      </c>
      <c r="J157" s="29" t="str">
        <f aca="false">IF(A157="","",IFERROR(SUMIFS(ps_points,ps_pid,A157)/SUMIFS(ps_weight,ps_pid,A157),""))</f>
        <v/>
      </c>
      <c r="K157" s="5" t="str">
        <f aca="false">IF(J157="","",IF(J157&gt;=0.8,"Bankable portfolio",IF(J157&gt;=0.5,"Return to step 2","Rework")))</f>
        <v/>
      </c>
    </row>
    <row r="158" customFormat="false" ht="15" hidden="false" customHeight="true" outlineLevel="0" collapsed="false">
      <c r="A158" s="30"/>
      <c r="H158" s="31"/>
      <c r="I158" s="9" t="str">
        <f aca="false">IF(A158="","",COUNTIFS(ps_pid,A158,ps_sub,"PP1.1"))</f>
        <v/>
      </c>
      <c r="J158" s="29" t="str">
        <f aca="false">IF(A158="","",IFERROR(SUMIFS(ps_points,ps_pid,A158)/SUMIFS(ps_weight,ps_pid,A158),""))</f>
        <v/>
      </c>
      <c r="K158" s="5" t="str">
        <f aca="false">IF(J158="","",IF(J158&gt;=0.8,"Bankable portfolio",IF(J158&gt;=0.5,"Return to step 2","Rework")))</f>
        <v/>
      </c>
    </row>
    <row r="159" customFormat="false" ht="15" hidden="false" customHeight="true" outlineLevel="0" collapsed="false">
      <c r="A159" s="30"/>
      <c r="H159" s="31"/>
      <c r="I159" s="9" t="str">
        <f aca="false">IF(A159="","",COUNTIFS(ps_pid,A159,ps_sub,"PP1.1"))</f>
        <v/>
      </c>
      <c r="J159" s="29" t="str">
        <f aca="false">IF(A159="","",IFERROR(SUMIFS(ps_points,ps_pid,A159)/SUMIFS(ps_weight,ps_pid,A159),""))</f>
        <v/>
      </c>
      <c r="K159" s="5" t="str">
        <f aca="false">IF(J159="","",IF(J159&gt;=0.8,"Bankable portfolio",IF(J159&gt;=0.5,"Return to step 2","Rework")))</f>
        <v/>
      </c>
    </row>
    <row r="160" customFormat="false" ht="15" hidden="false" customHeight="true" outlineLevel="0" collapsed="false">
      <c r="A160" s="30"/>
      <c r="H160" s="31"/>
      <c r="I160" s="9" t="str">
        <f aca="false">IF(A160="","",COUNTIFS(ps_pid,A160,ps_sub,"PP1.1"))</f>
        <v/>
      </c>
      <c r="J160" s="29" t="str">
        <f aca="false">IF(A160="","",IFERROR(SUMIFS(ps_points,ps_pid,A160)/SUMIFS(ps_weight,ps_pid,A160),""))</f>
        <v/>
      </c>
      <c r="K160" s="5" t="str">
        <f aca="false">IF(J160="","",IF(J160&gt;=0.8,"Bankable portfolio",IF(J160&gt;=0.5,"Return to step 2","Rework")))</f>
        <v/>
      </c>
    </row>
    <row r="161" customFormat="false" ht="15" hidden="false" customHeight="true" outlineLevel="0" collapsed="false">
      <c r="A161" s="30"/>
      <c r="H161" s="31"/>
      <c r="I161" s="9" t="str">
        <f aca="false">IF(A161="","",COUNTIFS(ps_pid,A161,ps_sub,"PP1.1"))</f>
        <v/>
      </c>
      <c r="J161" s="29" t="str">
        <f aca="false">IF(A161="","",IFERROR(SUMIFS(ps_points,ps_pid,A161)/SUMIFS(ps_weight,ps_pid,A161),""))</f>
        <v/>
      </c>
      <c r="K161" s="5" t="str">
        <f aca="false">IF(J161="","",IF(J161&gt;=0.8,"Bankable portfolio",IF(J161&gt;=0.5,"Return to step 2","Rework")))</f>
        <v/>
      </c>
    </row>
    <row r="162" customFormat="false" ht="15" hidden="false" customHeight="true" outlineLevel="0" collapsed="false">
      <c r="A162" s="30"/>
      <c r="H162" s="31"/>
      <c r="I162" s="9" t="str">
        <f aca="false">IF(A162="","",COUNTIFS(ps_pid,A162,ps_sub,"PP1.1"))</f>
        <v/>
      </c>
      <c r="J162" s="29" t="str">
        <f aca="false">IF(A162="","",IFERROR(SUMIFS(ps_points,ps_pid,A162)/SUMIFS(ps_weight,ps_pid,A162),""))</f>
        <v/>
      </c>
      <c r="K162" s="5" t="str">
        <f aca="false">IF(J162="","",IF(J162&gt;=0.8,"Bankable portfolio",IF(J162&gt;=0.5,"Return to step 2","Rework")))</f>
        <v/>
      </c>
    </row>
    <row r="163" customFormat="false" ht="15" hidden="false" customHeight="true" outlineLevel="0" collapsed="false">
      <c r="A163" s="30"/>
      <c r="H163" s="31"/>
      <c r="I163" s="9" t="str">
        <f aca="false">IF(A163="","",COUNTIFS(ps_pid,A163,ps_sub,"PP1.1"))</f>
        <v/>
      </c>
      <c r="J163" s="29" t="str">
        <f aca="false">IF(A163="","",IFERROR(SUMIFS(ps_points,ps_pid,A163)/SUMIFS(ps_weight,ps_pid,A163),""))</f>
        <v/>
      </c>
      <c r="K163" s="5" t="str">
        <f aca="false">IF(J163="","",IF(J163&gt;=0.8,"Bankable portfolio",IF(J163&gt;=0.5,"Return to step 2","Rework")))</f>
        <v/>
      </c>
    </row>
    <row r="164" customFormat="false" ht="15" hidden="false" customHeight="true" outlineLevel="0" collapsed="false">
      <c r="A164" s="30"/>
      <c r="H164" s="31"/>
      <c r="I164" s="9" t="str">
        <f aca="false">IF(A164="","",COUNTIFS(ps_pid,A164,ps_sub,"PP1.1"))</f>
        <v/>
      </c>
      <c r="J164" s="29" t="str">
        <f aca="false">IF(A164="","",IFERROR(SUMIFS(ps_points,ps_pid,A164)/SUMIFS(ps_weight,ps_pid,A164),""))</f>
        <v/>
      </c>
      <c r="K164" s="5" t="str">
        <f aca="false">IF(J164="","",IF(J164&gt;=0.8,"Bankable portfolio",IF(J164&gt;=0.5,"Return to step 2","Rework")))</f>
        <v/>
      </c>
    </row>
    <row r="165" customFormat="false" ht="15" hidden="false" customHeight="true" outlineLevel="0" collapsed="false">
      <c r="A165" s="30"/>
      <c r="H165" s="31"/>
      <c r="I165" s="9" t="str">
        <f aca="false">IF(A165="","",COUNTIFS(ps_pid,A165,ps_sub,"PP1.1"))</f>
        <v/>
      </c>
      <c r="J165" s="29" t="str">
        <f aca="false">IF(A165="","",IFERROR(SUMIFS(ps_points,ps_pid,A165)/SUMIFS(ps_weight,ps_pid,A165),""))</f>
        <v/>
      </c>
      <c r="K165" s="5" t="str">
        <f aca="false">IF(J165="","",IF(J165&gt;=0.8,"Bankable portfolio",IF(J165&gt;=0.5,"Return to step 2","Rework")))</f>
        <v/>
      </c>
    </row>
    <row r="166" customFormat="false" ht="15" hidden="false" customHeight="true" outlineLevel="0" collapsed="false">
      <c r="A166" s="30"/>
      <c r="H166" s="31"/>
      <c r="I166" s="9" t="str">
        <f aca="false">IF(A166="","",COUNTIFS(ps_pid,A166,ps_sub,"PP1.1"))</f>
        <v/>
      </c>
      <c r="J166" s="29" t="str">
        <f aca="false">IF(A166="","",IFERROR(SUMIFS(ps_points,ps_pid,A166)/SUMIFS(ps_weight,ps_pid,A166),""))</f>
        <v/>
      </c>
      <c r="K166" s="5" t="str">
        <f aca="false">IF(J166="","",IF(J166&gt;=0.8,"Bankable portfolio",IF(J166&gt;=0.5,"Return to step 2","Rework")))</f>
        <v/>
      </c>
    </row>
    <row r="167" customFormat="false" ht="15" hidden="false" customHeight="true" outlineLevel="0" collapsed="false">
      <c r="A167" s="30"/>
      <c r="H167" s="31"/>
      <c r="I167" s="9" t="str">
        <f aca="false">IF(A167="","",COUNTIFS(ps_pid,A167,ps_sub,"PP1.1"))</f>
        <v/>
      </c>
      <c r="J167" s="29" t="str">
        <f aca="false">IF(A167="","",IFERROR(SUMIFS(ps_points,ps_pid,A167)/SUMIFS(ps_weight,ps_pid,A167),""))</f>
        <v/>
      </c>
      <c r="K167" s="5" t="str">
        <f aca="false">IF(J167="","",IF(J167&gt;=0.8,"Bankable portfolio",IF(J167&gt;=0.5,"Return to step 2","Rework")))</f>
        <v/>
      </c>
    </row>
    <row r="168" customFormat="false" ht="15" hidden="false" customHeight="true" outlineLevel="0" collapsed="false">
      <c r="A168" s="30"/>
      <c r="H168" s="31"/>
      <c r="I168" s="9" t="str">
        <f aca="false">IF(A168="","",COUNTIFS(ps_pid,A168,ps_sub,"PP1.1"))</f>
        <v/>
      </c>
      <c r="J168" s="29" t="str">
        <f aca="false">IF(A168="","",IFERROR(SUMIFS(ps_points,ps_pid,A168)/SUMIFS(ps_weight,ps_pid,A168),""))</f>
        <v/>
      </c>
      <c r="K168" s="5" t="str">
        <f aca="false">IF(J168="","",IF(J168&gt;=0.8,"Bankable portfolio",IF(J168&gt;=0.5,"Return to step 2","Rework")))</f>
        <v/>
      </c>
    </row>
    <row r="169" customFormat="false" ht="15" hidden="false" customHeight="true" outlineLevel="0" collapsed="false">
      <c r="A169" s="30"/>
      <c r="H169" s="31"/>
      <c r="I169" s="9" t="str">
        <f aca="false">IF(A169="","",COUNTIFS(ps_pid,A169,ps_sub,"PP1.1"))</f>
        <v/>
      </c>
      <c r="J169" s="29" t="str">
        <f aca="false">IF(A169="","",IFERROR(SUMIFS(ps_points,ps_pid,A169)/SUMIFS(ps_weight,ps_pid,A169),""))</f>
        <v/>
      </c>
      <c r="K169" s="5" t="str">
        <f aca="false">IF(J169="","",IF(J169&gt;=0.8,"Bankable portfolio",IF(J169&gt;=0.5,"Return to step 2","Rework")))</f>
        <v/>
      </c>
    </row>
    <row r="170" customFormat="false" ht="15" hidden="false" customHeight="true" outlineLevel="0" collapsed="false">
      <c r="A170" s="30"/>
      <c r="H170" s="31"/>
      <c r="I170" s="9" t="str">
        <f aca="false">IF(A170="","",COUNTIFS(ps_pid,A170,ps_sub,"PP1.1"))</f>
        <v/>
      </c>
      <c r="J170" s="29" t="str">
        <f aca="false">IF(A170="","",IFERROR(SUMIFS(ps_points,ps_pid,A170)/SUMIFS(ps_weight,ps_pid,A170),""))</f>
        <v/>
      </c>
      <c r="K170" s="5" t="str">
        <f aca="false">IF(J170="","",IF(J170&gt;=0.8,"Bankable portfolio",IF(J170&gt;=0.5,"Return to step 2","Rework")))</f>
        <v/>
      </c>
    </row>
    <row r="171" customFormat="false" ht="15" hidden="false" customHeight="true" outlineLevel="0" collapsed="false">
      <c r="A171" s="30"/>
      <c r="H171" s="31"/>
      <c r="I171" s="9" t="str">
        <f aca="false">IF(A171="","",COUNTIFS(ps_pid,A171,ps_sub,"PP1.1"))</f>
        <v/>
      </c>
      <c r="J171" s="29" t="str">
        <f aca="false">IF(A171="","",IFERROR(SUMIFS(ps_points,ps_pid,A171)/SUMIFS(ps_weight,ps_pid,A171),""))</f>
        <v/>
      </c>
      <c r="K171" s="5" t="str">
        <f aca="false">IF(J171="","",IF(J171&gt;=0.8,"Bankable portfolio",IF(J171&gt;=0.5,"Return to step 2","Rework")))</f>
        <v/>
      </c>
    </row>
    <row r="172" customFormat="false" ht="15" hidden="false" customHeight="true" outlineLevel="0" collapsed="false">
      <c r="A172" s="30"/>
      <c r="H172" s="31"/>
      <c r="I172" s="9" t="str">
        <f aca="false">IF(A172="","",COUNTIFS(ps_pid,A172,ps_sub,"PP1.1"))</f>
        <v/>
      </c>
      <c r="J172" s="29" t="str">
        <f aca="false">IF(A172="","",IFERROR(SUMIFS(ps_points,ps_pid,A172)/SUMIFS(ps_weight,ps_pid,A172),""))</f>
        <v/>
      </c>
      <c r="K172" s="5" t="str">
        <f aca="false">IF(J172="","",IF(J172&gt;=0.8,"Bankable portfolio",IF(J172&gt;=0.5,"Return to step 2","Rework")))</f>
        <v/>
      </c>
    </row>
    <row r="173" customFormat="false" ht="15" hidden="false" customHeight="true" outlineLevel="0" collapsed="false">
      <c r="A173" s="30"/>
      <c r="H173" s="31"/>
      <c r="I173" s="9" t="str">
        <f aca="false">IF(A173="","",COUNTIFS(ps_pid,A173,ps_sub,"PP1.1"))</f>
        <v/>
      </c>
      <c r="J173" s="29" t="str">
        <f aca="false">IF(A173="","",IFERROR(SUMIFS(ps_points,ps_pid,A173)/SUMIFS(ps_weight,ps_pid,A173),""))</f>
        <v/>
      </c>
      <c r="K173" s="5" t="str">
        <f aca="false">IF(J173="","",IF(J173&gt;=0.8,"Bankable portfolio",IF(J173&gt;=0.5,"Return to step 2","Rework")))</f>
        <v/>
      </c>
    </row>
    <row r="174" customFormat="false" ht="15" hidden="false" customHeight="true" outlineLevel="0" collapsed="false">
      <c r="A174" s="30"/>
      <c r="H174" s="31"/>
      <c r="I174" s="9" t="str">
        <f aca="false">IF(A174="","",COUNTIFS(ps_pid,A174,ps_sub,"PP1.1"))</f>
        <v/>
      </c>
      <c r="J174" s="29" t="str">
        <f aca="false">IF(A174="","",IFERROR(SUMIFS(ps_points,ps_pid,A174)/SUMIFS(ps_weight,ps_pid,A174),""))</f>
        <v/>
      </c>
      <c r="K174" s="5" t="str">
        <f aca="false">IF(J174="","",IF(J174&gt;=0.8,"Bankable portfolio",IF(J174&gt;=0.5,"Return to step 2","Rework")))</f>
        <v/>
      </c>
    </row>
    <row r="175" customFormat="false" ht="15" hidden="false" customHeight="true" outlineLevel="0" collapsed="false">
      <c r="A175" s="30"/>
      <c r="H175" s="31"/>
      <c r="I175" s="9" t="str">
        <f aca="false">IF(A175="","",COUNTIFS(ps_pid,A175,ps_sub,"PP1.1"))</f>
        <v/>
      </c>
      <c r="J175" s="29" t="str">
        <f aca="false">IF(A175="","",IFERROR(SUMIFS(ps_points,ps_pid,A175)/SUMIFS(ps_weight,ps_pid,A175),""))</f>
        <v/>
      </c>
      <c r="K175" s="5" t="str">
        <f aca="false">IF(J175="","",IF(J175&gt;=0.8,"Bankable portfolio",IF(J175&gt;=0.5,"Return to step 2","Rework")))</f>
        <v/>
      </c>
    </row>
    <row r="176" customFormat="false" ht="15" hidden="false" customHeight="true" outlineLevel="0" collapsed="false">
      <c r="A176" s="30"/>
      <c r="H176" s="31"/>
      <c r="I176" s="9" t="str">
        <f aca="false">IF(A176="","",COUNTIFS(ps_pid,A176,ps_sub,"PP1.1"))</f>
        <v/>
      </c>
      <c r="J176" s="29" t="str">
        <f aca="false">IF(A176="","",IFERROR(SUMIFS(ps_points,ps_pid,A176)/SUMIFS(ps_weight,ps_pid,A176),""))</f>
        <v/>
      </c>
      <c r="K176" s="5" t="str">
        <f aca="false">IF(J176="","",IF(J176&gt;=0.8,"Bankable portfolio",IF(J176&gt;=0.5,"Return to step 2","Rework")))</f>
        <v/>
      </c>
    </row>
    <row r="177" customFormat="false" ht="15" hidden="false" customHeight="true" outlineLevel="0" collapsed="false">
      <c r="A177" s="30"/>
      <c r="H177" s="31"/>
      <c r="I177" s="9" t="str">
        <f aca="false">IF(A177="","",COUNTIFS(ps_pid,A177,ps_sub,"PP1.1"))</f>
        <v/>
      </c>
      <c r="J177" s="29" t="str">
        <f aca="false">IF(A177="","",IFERROR(SUMIFS(ps_points,ps_pid,A177)/SUMIFS(ps_weight,ps_pid,A177),""))</f>
        <v/>
      </c>
      <c r="K177" s="5" t="str">
        <f aca="false">IF(J177="","",IF(J177&gt;=0.8,"Bankable portfolio",IF(J177&gt;=0.5,"Return to step 2","Rework")))</f>
        <v/>
      </c>
    </row>
    <row r="178" customFormat="false" ht="15" hidden="false" customHeight="true" outlineLevel="0" collapsed="false">
      <c r="A178" s="30"/>
      <c r="H178" s="31"/>
      <c r="I178" s="9" t="str">
        <f aca="false">IF(A178="","",COUNTIFS(ps_pid,A178,ps_sub,"PP1.1"))</f>
        <v/>
      </c>
      <c r="J178" s="29" t="str">
        <f aca="false">IF(A178="","",IFERROR(SUMIFS(ps_points,ps_pid,A178)/SUMIFS(ps_weight,ps_pid,A178),""))</f>
        <v/>
      </c>
      <c r="K178" s="5" t="str">
        <f aca="false">IF(J178="","",IF(J178&gt;=0.8,"Bankable portfolio",IF(J178&gt;=0.5,"Return to step 2","Rework")))</f>
        <v/>
      </c>
    </row>
    <row r="179" customFormat="false" ht="15" hidden="false" customHeight="true" outlineLevel="0" collapsed="false">
      <c r="A179" s="30"/>
      <c r="H179" s="31"/>
      <c r="I179" s="9" t="str">
        <f aca="false">IF(A179="","",COUNTIFS(ps_pid,A179,ps_sub,"PP1.1"))</f>
        <v/>
      </c>
      <c r="J179" s="29" t="str">
        <f aca="false">IF(A179="","",IFERROR(SUMIFS(ps_points,ps_pid,A179)/SUMIFS(ps_weight,ps_pid,A179),""))</f>
        <v/>
      </c>
      <c r="K179" s="5" t="str">
        <f aca="false">IF(J179="","",IF(J179&gt;=0.8,"Bankable portfolio",IF(J179&gt;=0.5,"Return to step 2","Rework")))</f>
        <v/>
      </c>
    </row>
    <row r="180" customFormat="false" ht="15" hidden="false" customHeight="true" outlineLevel="0" collapsed="false">
      <c r="A180" s="30"/>
      <c r="H180" s="31"/>
      <c r="I180" s="9" t="str">
        <f aca="false">IF(A180="","",COUNTIFS(ps_pid,A180,ps_sub,"PP1.1"))</f>
        <v/>
      </c>
      <c r="J180" s="29" t="str">
        <f aca="false">IF(A180="","",IFERROR(SUMIFS(ps_points,ps_pid,A180)/SUMIFS(ps_weight,ps_pid,A180),""))</f>
        <v/>
      </c>
      <c r="K180" s="5" t="str">
        <f aca="false">IF(J180="","",IF(J180&gt;=0.8,"Bankable portfolio",IF(J180&gt;=0.5,"Return to step 2","Rework")))</f>
        <v/>
      </c>
    </row>
    <row r="181" customFormat="false" ht="15" hidden="false" customHeight="true" outlineLevel="0" collapsed="false">
      <c r="A181" s="30"/>
      <c r="H181" s="31"/>
      <c r="I181" s="9" t="str">
        <f aca="false">IF(A181="","",COUNTIFS(ps_pid,A181,ps_sub,"PP1.1"))</f>
        <v/>
      </c>
      <c r="J181" s="29" t="str">
        <f aca="false">IF(A181="","",IFERROR(SUMIFS(ps_points,ps_pid,A181)/SUMIFS(ps_weight,ps_pid,A181),""))</f>
        <v/>
      </c>
      <c r="K181" s="5" t="str">
        <f aca="false">IF(J181="","",IF(J181&gt;=0.8,"Bankable portfolio",IF(J181&gt;=0.5,"Return to step 2","Rework")))</f>
        <v/>
      </c>
    </row>
    <row r="182" customFormat="false" ht="15" hidden="false" customHeight="true" outlineLevel="0" collapsed="false">
      <c r="A182" s="30"/>
      <c r="H182" s="31"/>
      <c r="I182" s="9" t="str">
        <f aca="false">IF(A182="","",COUNTIFS(ps_pid,A182,ps_sub,"PP1.1"))</f>
        <v/>
      </c>
      <c r="J182" s="29" t="str">
        <f aca="false">IF(A182="","",IFERROR(SUMIFS(ps_points,ps_pid,A182)/SUMIFS(ps_weight,ps_pid,A182),""))</f>
        <v/>
      </c>
      <c r="K182" s="5" t="str">
        <f aca="false">IF(J182="","",IF(J182&gt;=0.8,"Bankable portfolio",IF(J182&gt;=0.5,"Return to step 2","Rework")))</f>
        <v/>
      </c>
    </row>
    <row r="183" customFormat="false" ht="15" hidden="false" customHeight="true" outlineLevel="0" collapsed="false">
      <c r="A183" s="30"/>
      <c r="H183" s="31"/>
      <c r="I183" s="9" t="str">
        <f aca="false">IF(A183="","",COUNTIFS(ps_pid,A183,ps_sub,"PP1.1"))</f>
        <v/>
      </c>
      <c r="J183" s="29" t="str">
        <f aca="false">IF(A183="","",IFERROR(SUMIFS(ps_points,ps_pid,A183)/SUMIFS(ps_weight,ps_pid,A183),""))</f>
        <v/>
      </c>
      <c r="K183" s="5" t="str">
        <f aca="false">IF(J183="","",IF(J183&gt;=0.8,"Bankable portfolio",IF(J183&gt;=0.5,"Return to step 2","Rework")))</f>
        <v/>
      </c>
    </row>
    <row r="184" customFormat="false" ht="15" hidden="false" customHeight="true" outlineLevel="0" collapsed="false">
      <c r="A184" s="30"/>
      <c r="H184" s="31"/>
      <c r="I184" s="9" t="str">
        <f aca="false">IF(A184="","",COUNTIFS(ps_pid,A184,ps_sub,"PP1.1"))</f>
        <v/>
      </c>
      <c r="J184" s="29" t="str">
        <f aca="false">IF(A184="","",IFERROR(SUMIFS(ps_points,ps_pid,A184)/SUMIFS(ps_weight,ps_pid,A184),""))</f>
        <v/>
      </c>
      <c r="K184" s="5" t="str">
        <f aca="false">IF(J184="","",IF(J184&gt;=0.8,"Bankable portfolio",IF(J184&gt;=0.5,"Return to step 2","Rework")))</f>
        <v/>
      </c>
    </row>
    <row r="185" customFormat="false" ht="15" hidden="false" customHeight="true" outlineLevel="0" collapsed="false">
      <c r="A185" s="30"/>
      <c r="H185" s="31"/>
      <c r="I185" s="9" t="str">
        <f aca="false">IF(A185="","",COUNTIFS(ps_pid,A185,ps_sub,"PP1.1"))</f>
        <v/>
      </c>
      <c r="J185" s="29" t="str">
        <f aca="false">IF(A185="","",IFERROR(SUMIFS(ps_points,ps_pid,A185)/SUMIFS(ps_weight,ps_pid,A185),""))</f>
        <v/>
      </c>
      <c r="K185" s="5" t="str">
        <f aca="false">IF(J185="","",IF(J185&gt;=0.8,"Bankable portfolio",IF(J185&gt;=0.5,"Return to step 2","Rework")))</f>
        <v/>
      </c>
    </row>
    <row r="186" customFormat="false" ht="15" hidden="false" customHeight="true" outlineLevel="0" collapsed="false">
      <c r="A186" s="30"/>
      <c r="H186" s="31"/>
      <c r="I186" s="9" t="str">
        <f aca="false">IF(A186="","",COUNTIFS(ps_pid,A186,ps_sub,"PP1.1"))</f>
        <v/>
      </c>
      <c r="J186" s="29" t="str">
        <f aca="false">IF(A186="","",IFERROR(SUMIFS(ps_points,ps_pid,A186)/SUMIFS(ps_weight,ps_pid,A186),""))</f>
        <v/>
      </c>
      <c r="K186" s="5" t="str">
        <f aca="false">IF(J186="","",IF(J186&gt;=0.8,"Bankable portfolio",IF(J186&gt;=0.5,"Return to step 2","Rework")))</f>
        <v/>
      </c>
    </row>
    <row r="187" customFormat="false" ht="15" hidden="false" customHeight="true" outlineLevel="0" collapsed="false">
      <c r="A187" s="30"/>
      <c r="H187" s="31"/>
      <c r="I187" s="9" t="str">
        <f aca="false">IF(A187="","",COUNTIFS(ps_pid,A187,ps_sub,"PP1.1"))</f>
        <v/>
      </c>
      <c r="J187" s="29" t="str">
        <f aca="false">IF(A187="","",IFERROR(SUMIFS(ps_points,ps_pid,A187)/SUMIFS(ps_weight,ps_pid,A187),""))</f>
        <v/>
      </c>
      <c r="K187" s="5" t="str">
        <f aca="false">IF(J187="","",IF(J187&gt;=0.8,"Bankable portfolio",IF(J187&gt;=0.5,"Return to step 2","Rework")))</f>
        <v/>
      </c>
    </row>
    <row r="188" customFormat="false" ht="15" hidden="false" customHeight="true" outlineLevel="0" collapsed="false">
      <c r="A188" s="30"/>
      <c r="H188" s="31"/>
      <c r="I188" s="9" t="str">
        <f aca="false">IF(A188="","",COUNTIFS(ps_pid,A188,ps_sub,"PP1.1"))</f>
        <v/>
      </c>
      <c r="J188" s="29" t="str">
        <f aca="false">IF(A188="","",IFERROR(SUMIFS(ps_points,ps_pid,A188)/SUMIFS(ps_weight,ps_pid,A188),""))</f>
        <v/>
      </c>
      <c r="K188" s="5" t="str">
        <f aca="false">IF(J188="","",IF(J188&gt;=0.8,"Bankable portfolio",IF(J188&gt;=0.5,"Return to step 2","Rework")))</f>
        <v/>
      </c>
    </row>
    <row r="189" customFormat="false" ht="15" hidden="false" customHeight="true" outlineLevel="0" collapsed="false">
      <c r="A189" s="30"/>
      <c r="H189" s="31"/>
      <c r="I189" s="9" t="str">
        <f aca="false">IF(A189="","",COUNTIFS(ps_pid,A189,ps_sub,"PP1.1"))</f>
        <v/>
      </c>
      <c r="J189" s="29" t="str">
        <f aca="false">IF(A189="","",IFERROR(SUMIFS(ps_points,ps_pid,A189)/SUMIFS(ps_weight,ps_pid,A189),""))</f>
        <v/>
      </c>
      <c r="K189" s="5" t="str">
        <f aca="false">IF(J189="","",IF(J189&gt;=0.8,"Bankable portfolio",IF(J189&gt;=0.5,"Return to step 2","Rework")))</f>
        <v/>
      </c>
    </row>
    <row r="190" customFormat="false" ht="15" hidden="false" customHeight="true" outlineLevel="0" collapsed="false">
      <c r="A190" s="30"/>
      <c r="H190" s="31"/>
      <c r="I190" s="9" t="str">
        <f aca="false">IF(A190="","",COUNTIFS(ps_pid,A190,ps_sub,"PP1.1"))</f>
        <v/>
      </c>
      <c r="J190" s="29" t="str">
        <f aca="false">IF(A190="","",IFERROR(SUMIFS(ps_points,ps_pid,A190)/SUMIFS(ps_weight,ps_pid,A190),""))</f>
        <v/>
      </c>
      <c r="K190" s="5" t="str">
        <f aca="false">IF(J190="","",IF(J190&gt;=0.8,"Bankable portfolio",IF(J190&gt;=0.5,"Return to step 2","Rework")))</f>
        <v/>
      </c>
    </row>
    <row r="191" customFormat="false" ht="15" hidden="false" customHeight="true" outlineLevel="0" collapsed="false">
      <c r="A191" s="30"/>
      <c r="H191" s="31"/>
      <c r="I191" s="9" t="str">
        <f aca="false">IF(A191="","",COUNTIFS(ps_pid,A191,ps_sub,"PP1.1"))</f>
        <v/>
      </c>
      <c r="J191" s="29" t="str">
        <f aca="false">IF(A191="","",IFERROR(SUMIFS(ps_points,ps_pid,A191)/SUMIFS(ps_weight,ps_pid,A191),""))</f>
        <v/>
      </c>
      <c r="K191" s="5" t="str">
        <f aca="false">IF(J191="","",IF(J191&gt;=0.8,"Bankable portfolio",IF(J191&gt;=0.5,"Return to step 2","Rework")))</f>
        <v/>
      </c>
    </row>
    <row r="192" customFormat="false" ht="15" hidden="false" customHeight="true" outlineLevel="0" collapsed="false">
      <c r="A192" s="30"/>
      <c r="H192" s="31"/>
      <c r="I192" s="9" t="str">
        <f aca="false">IF(A192="","",COUNTIFS(ps_pid,A192,ps_sub,"PP1.1"))</f>
        <v/>
      </c>
      <c r="J192" s="29" t="str">
        <f aca="false">IF(A192="","",IFERROR(SUMIFS(ps_points,ps_pid,A192)/SUMIFS(ps_weight,ps_pid,A192),""))</f>
        <v/>
      </c>
      <c r="K192" s="5" t="str">
        <f aca="false">IF(J192="","",IF(J192&gt;=0.8,"Bankable portfolio",IF(J192&gt;=0.5,"Return to step 2","Rework")))</f>
        <v/>
      </c>
    </row>
    <row r="193" customFormat="false" ht="15" hidden="false" customHeight="true" outlineLevel="0" collapsed="false">
      <c r="A193" s="30"/>
      <c r="H193" s="31"/>
      <c r="I193" s="9" t="str">
        <f aca="false">IF(A193="","",COUNTIFS(ps_pid,A193,ps_sub,"PP1.1"))</f>
        <v/>
      </c>
      <c r="J193" s="29" t="str">
        <f aca="false">IF(A193="","",IFERROR(SUMIFS(ps_points,ps_pid,A193)/SUMIFS(ps_weight,ps_pid,A193),""))</f>
        <v/>
      </c>
      <c r="K193" s="5" t="str">
        <f aca="false">IF(J193="","",IF(J193&gt;=0.8,"Bankable portfolio",IF(J193&gt;=0.5,"Return to step 2","Rework")))</f>
        <v/>
      </c>
    </row>
    <row r="194" customFormat="false" ht="15" hidden="false" customHeight="true" outlineLevel="0" collapsed="false">
      <c r="A194" s="30"/>
      <c r="H194" s="31"/>
      <c r="I194" s="9" t="str">
        <f aca="false">IF(A194="","",COUNTIFS(ps_pid,A194,ps_sub,"PP1.1"))</f>
        <v/>
      </c>
      <c r="J194" s="29" t="str">
        <f aca="false">IF(A194="","",IFERROR(SUMIFS(ps_points,ps_pid,A194)/SUMIFS(ps_weight,ps_pid,A194),""))</f>
        <v/>
      </c>
      <c r="K194" s="5" t="str">
        <f aca="false">IF(J194="","",IF(J194&gt;=0.8,"Bankable portfolio",IF(J194&gt;=0.5,"Return to step 2","Rework")))</f>
        <v/>
      </c>
    </row>
    <row r="195" customFormat="false" ht="15" hidden="false" customHeight="true" outlineLevel="0" collapsed="false">
      <c r="A195" s="30"/>
      <c r="H195" s="31"/>
      <c r="I195" s="9" t="str">
        <f aca="false">IF(A195="","",COUNTIFS(ps_pid,A195,ps_sub,"PP1.1"))</f>
        <v/>
      </c>
      <c r="J195" s="29" t="str">
        <f aca="false">IF(A195="","",IFERROR(SUMIFS(ps_points,ps_pid,A195)/SUMIFS(ps_weight,ps_pid,A195),""))</f>
        <v/>
      </c>
      <c r="K195" s="5" t="str">
        <f aca="false">IF(J195="","",IF(J195&gt;=0.8,"Bankable portfolio",IF(J195&gt;=0.5,"Return to step 2","Rework")))</f>
        <v/>
      </c>
    </row>
    <row r="196" customFormat="false" ht="15" hidden="false" customHeight="true" outlineLevel="0" collapsed="false">
      <c r="A196" s="30"/>
      <c r="H196" s="31"/>
      <c r="I196" s="9" t="str">
        <f aca="false">IF(A196="","",COUNTIFS(ps_pid,A196,ps_sub,"PP1.1"))</f>
        <v/>
      </c>
      <c r="J196" s="29" t="str">
        <f aca="false">IF(A196="","",IFERROR(SUMIFS(ps_points,ps_pid,A196)/SUMIFS(ps_weight,ps_pid,A196),""))</f>
        <v/>
      </c>
      <c r="K196" s="5" t="str">
        <f aca="false">IF(J196="","",IF(J196&gt;=0.8,"Bankable portfolio",IF(J196&gt;=0.5,"Return to step 2","Rework")))</f>
        <v/>
      </c>
    </row>
    <row r="197" customFormat="false" ht="15" hidden="false" customHeight="true" outlineLevel="0" collapsed="false">
      <c r="A197" s="30"/>
      <c r="H197" s="31"/>
      <c r="I197" s="9" t="str">
        <f aca="false">IF(A197="","",COUNTIFS(ps_pid,A197,ps_sub,"PP1.1"))</f>
        <v/>
      </c>
      <c r="J197" s="29" t="str">
        <f aca="false">IF(A197="","",IFERROR(SUMIFS(ps_points,ps_pid,A197)/SUMIFS(ps_weight,ps_pid,A197),""))</f>
        <v/>
      </c>
      <c r="K197" s="5" t="str">
        <f aca="false">IF(J197="","",IF(J197&gt;=0.8,"Bankable portfolio",IF(J197&gt;=0.5,"Return to step 2","Rework")))</f>
        <v/>
      </c>
    </row>
    <row r="198" customFormat="false" ht="15" hidden="false" customHeight="true" outlineLevel="0" collapsed="false">
      <c r="A198" s="30"/>
      <c r="H198" s="31"/>
      <c r="I198" s="9" t="str">
        <f aca="false">IF(A198="","",COUNTIFS(ps_pid,A198,ps_sub,"PP1.1"))</f>
        <v/>
      </c>
      <c r="J198" s="29" t="str">
        <f aca="false">IF(A198="","",IFERROR(SUMIFS(ps_points,ps_pid,A198)/SUMIFS(ps_weight,ps_pid,A198),""))</f>
        <v/>
      </c>
      <c r="K198" s="5" t="str">
        <f aca="false">IF(J198="","",IF(J198&gt;=0.8,"Bankable portfolio",IF(J198&gt;=0.5,"Return to step 2","Rework")))</f>
        <v/>
      </c>
    </row>
    <row r="199" customFormat="false" ht="15" hidden="false" customHeight="true" outlineLevel="0" collapsed="false">
      <c r="A199" s="30"/>
      <c r="H199" s="31"/>
      <c r="I199" s="9" t="str">
        <f aca="false">IF(A199="","",COUNTIFS(ps_pid,A199,ps_sub,"PP1.1"))</f>
        <v/>
      </c>
      <c r="J199" s="29" t="str">
        <f aca="false">IF(A199="","",IFERROR(SUMIFS(ps_points,ps_pid,A199)/SUMIFS(ps_weight,ps_pid,A199),""))</f>
        <v/>
      </c>
      <c r="K199" s="5" t="str">
        <f aca="false">IF(J199="","",IF(J199&gt;=0.8,"Bankable portfolio",IF(J199&gt;=0.5,"Return to step 2","Rework")))</f>
        <v/>
      </c>
    </row>
    <row r="200" customFormat="false" ht="15" hidden="false" customHeight="true" outlineLevel="0" collapsed="false">
      <c r="A200" s="30"/>
      <c r="H200" s="31"/>
      <c r="I200" s="9" t="str">
        <f aca="false">IF(A200="","",COUNTIFS(ps_pid,A200,ps_sub,"PP1.1"))</f>
        <v/>
      </c>
      <c r="J200" s="29" t="str">
        <f aca="false">IF(A200="","",IFERROR(SUMIFS(ps_points,ps_pid,A200)/SUMIFS(ps_weight,ps_pid,A200),""))</f>
        <v/>
      </c>
      <c r="K200" s="5" t="str">
        <f aca="false">IF(J200="","",IF(J200&gt;=0.8,"Bankable portfolio",IF(J200&gt;=0.5,"Return to step 2","Rework")))</f>
        <v/>
      </c>
    </row>
  </sheetData>
  <autoFilter ref="A1:K200"/>
  <conditionalFormatting sqref="K2:K200">
    <cfRule type="cellIs" priority="2" operator="equal" aboveAverage="0" equalAverage="0" bottom="0" percent="0" rank="0" text="" dxfId="18">
      <formula>"Bankable portfolio"</formula>
    </cfRule>
    <cfRule type="cellIs" priority="3" operator="equal" aboveAverage="0" equalAverage="0" bottom="0" percent="0" rank="0" text="" dxfId="19">
      <formula>"Return to step 2"</formula>
    </cfRule>
    <cfRule type="cellIs" priority="4" operator="equal" aboveAverage="0" equalAverage="0" bottom="0" percent="0" rank="0" text="" dxfId="20">
      <formula>"Rework"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2"/>
    <col collapsed="false" customWidth="true" hidden="false" outlineLevel="0" max="3" min="3" style="1" width="12"/>
    <col collapsed="false" customWidth="true" hidden="false" outlineLevel="0" max="4" min="4" style="1" width="11"/>
    <col collapsed="false" customWidth="true" hidden="false" outlineLevel="0" max="5" min="5" style="1" width="70"/>
    <col collapsed="false" customWidth="true" hidden="false" outlineLevel="0" max="6" min="6" style="1" width="9"/>
    <col collapsed="false" customWidth="true" hidden="false" outlineLevel="0" max="7" min="7" style="1" width="11"/>
  </cols>
  <sheetData>
    <row r="1" customFormat="false" ht="30" hidden="false" customHeight="true" outlineLevel="0" collapsed="false">
      <c r="A1" s="7" t="s">
        <v>489</v>
      </c>
      <c r="B1" s="6" t="s">
        <v>507</v>
      </c>
      <c r="C1" s="7" t="s">
        <v>46</v>
      </c>
      <c r="D1" s="7" t="s">
        <v>508</v>
      </c>
      <c r="E1" s="6" t="s">
        <v>509</v>
      </c>
      <c r="F1" s="7" t="s">
        <v>28</v>
      </c>
      <c r="G1" s="7" t="s">
        <v>510</v>
      </c>
    </row>
    <row r="2" customFormat="false" ht="15" hidden="false" customHeight="true" outlineLevel="0" collapsed="false">
      <c r="A2" s="13" t="s">
        <v>500</v>
      </c>
      <c r="B2" s="5" t="s">
        <v>511</v>
      </c>
      <c r="C2" s="13" t="s">
        <v>53</v>
      </c>
      <c r="D2" s="32" t="n">
        <v>4</v>
      </c>
      <c r="E2" s="5" t="s">
        <v>512</v>
      </c>
      <c r="F2" s="9" t="n">
        <f aca="false">IF(C2="","",IFERROR(INDEX('Sub-principles'!$E$2:$E$11,MATCH(C2,'Sub-principles'!$A$2:$A$11,0)),""))</f>
        <v>8</v>
      </c>
      <c r="G2" s="33" t="n">
        <f aca="false">IF(OR(D2="",F2=""),"",D2/5*F2)</f>
        <v>6.4</v>
      </c>
    </row>
    <row r="3" customFormat="false" ht="15" hidden="false" customHeight="true" outlineLevel="0" collapsed="false">
      <c r="A3" s="13" t="s">
        <v>500</v>
      </c>
      <c r="B3" s="5" t="s">
        <v>511</v>
      </c>
      <c r="C3" s="13" t="s">
        <v>62</v>
      </c>
      <c r="D3" s="32" t="n">
        <v>5</v>
      </c>
      <c r="E3" s="5" t="s">
        <v>513</v>
      </c>
      <c r="F3" s="9" t="n">
        <f aca="false">IF(C3="","",IFERROR(INDEX('Sub-principles'!$E$2:$E$11,MATCH(C3,'Sub-principles'!$A$2:$A$11,0)),""))</f>
        <v>8</v>
      </c>
      <c r="G3" s="33" t="n">
        <f aca="false">IF(OR(D3="",F3=""),"",D3/5*F3)</f>
        <v>8</v>
      </c>
    </row>
    <row r="4" customFormat="false" ht="15" hidden="false" customHeight="true" outlineLevel="0" collapsed="false">
      <c r="A4" s="13" t="s">
        <v>500</v>
      </c>
      <c r="B4" s="5" t="s">
        <v>511</v>
      </c>
      <c r="C4" s="13" t="s">
        <v>71</v>
      </c>
      <c r="D4" s="32" t="n">
        <v>5</v>
      </c>
      <c r="E4" s="5" t="s">
        <v>514</v>
      </c>
      <c r="F4" s="9" t="n">
        <f aca="false">IF(C4="","",IFERROR(INDEX('Sub-principles'!$E$2:$E$11,MATCH(C4,'Sub-principles'!$A$2:$A$11,0)),""))</f>
        <v>8</v>
      </c>
      <c r="G4" s="33" t="n">
        <f aca="false">IF(OR(D4="",F4=""),"",D4/5*F4)</f>
        <v>8</v>
      </c>
    </row>
    <row r="5" customFormat="false" ht="15" hidden="false" customHeight="true" outlineLevel="0" collapsed="false">
      <c r="A5" s="13" t="s">
        <v>500</v>
      </c>
      <c r="B5" s="5" t="s">
        <v>511</v>
      </c>
      <c r="C5" s="13" t="s">
        <v>80</v>
      </c>
      <c r="D5" s="32" t="n">
        <v>5</v>
      </c>
      <c r="E5" s="5" t="s">
        <v>515</v>
      </c>
      <c r="F5" s="9" t="n">
        <f aca="false">IF(C5="","",IFERROR(INDEX('Sub-principles'!$E$2:$E$11,MATCH(C5,'Sub-principles'!$A$2:$A$11,0)),""))</f>
        <v>8</v>
      </c>
      <c r="G5" s="33" t="n">
        <f aca="false">IF(OR(D5="",F5=""),"",D5/5*F5)</f>
        <v>8</v>
      </c>
    </row>
    <row r="6" customFormat="false" ht="23.25" hidden="false" customHeight="true" outlineLevel="0" collapsed="false">
      <c r="A6" s="13" t="s">
        <v>500</v>
      </c>
      <c r="B6" s="5" t="s">
        <v>511</v>
      </c>
      <c r="C6" s="13" t="s">
        <v>89</v>
      </c>
      <c r="D6" s="32" t="n">
        <v>4</v>
      </c>
      <c r="E6" s="5" t="s">
        <v>516</v>
      </c>
      <c r="F6" s="9" t="n">
        <f aca="false">IF(C6="","",IFERROR(INDEX('Sub-principles'!$E$2:$E$11,MATCH(C6,'Sub-principles'!$A$2:$A$11,0)),""))</f>
        <v>8</v>
      </c>
      <c r="G6" s="33" t="n">
        <f aca="false">IF(OR(D6="",F6=""),"",D6/5*F6)</f>
        <v>6.4</v>
      </c>
    </row>
    <row r="7" customFormat="false" ht="34.5" hidden="false" customHeight="true" outlineLevel="0" collapsed="false">
      <c r="A7" s="13" t="s">
        <v>500</v>
      </c>
      <c r="B7" s="5" t="s">
        <v>511</v>
      </c>
      <c r="C7" s="13" t="s">
        <v>98</v>
      </c>
      <c r="D7" s="32" t="n">
        <v>4</v>
      </c>
      <c r="E7" s="5" t="s">
        <v>517</v>
      </c>
      <c r="F7" s="9" t="n">
        <f aca="false">IF(C7="","",IFERROR(INDEX('Sub-principles'!$E$2:$E$11,MATCH(C7,'Sub-principles'!$A$2:$A$11,0)),""))</f>
        <v>8</v>
      </c>
      <c r="G7" s="33" t="n">
        <f aca="false">IF(OR(D7="",F7=""),"",D7/5*F7)</f>
        <v>6.4</v>
      </c>
    </row>
    <row r="8" customFormat="false" ht="15" hidden="false" customHeight="true" outlineLevel="0" collapsed="false">
      <c r="A8" s="13" t="s">
        <v>500</v>
      </c>
      <c r="B8" s="5" t="s">
        <v>511</v>
      </c>
      <c r="C8" s="13" t="s">
        <v>107</v>
      </c>
      <c r="D8" s="32" t="n">
        <v>4</v>
      </c>
      <c r="E8" s="5" t="s">
        <v>518</v>
      </c>
      <c r="F8" s="9" t="n">
        <f aca="false">IF(C8="","",IFERROR(INDEX('Sub-principles'!$E$2:$E$11,MATCH(C8,'Sub-principles'!$A$2:$A$11,0)),""))</f>
        <v>8</v>
      </c>
      <c r="G8" s="33" t="n">
        <f aca="false">IF(OR(D8="",F8=""),"",D8/5*F8)</f>
        <v>6.4</v>
      </c>
    </row>
    <row r="9" customFormat="false" ht="15" hidden="false" customHeight="true" outlineLevel="0" collapsed="false">
      <c r="A9" s="13" t="s">
        <v>500</v>
      </c>
      <c r="B9" s="5" t="s">
        <v>511</v>
      </c>
      <c r="C9" s="13" t="s">
        <v>116</v>
      </c>
      <c r="D9" s="32" t="n">
        <v>3</v>
      </c>
      <c r="E9" s="5" t="s">
        <v>519</v>
      </c>
      <c r="F9" s="9" t="n">
        <f aca="false">IF(C9="","",IFERROR(INDEX('Sub-principles'!$E$2:$E$11,MATCH(C9,'Sub-principles'!$A$2:$A$11,0)),""))</f>
        <v>16</v>
      </c>
      <c r="G9" s="33" t="n">
        <f aca="false">IF(OR(D9="",F9=""),"",D9/5*F9)</f>
        <v>9.6</v>
      </c>
    </row>
    <row r="10" customFormat="false" ht="15" hidden="false" customHeight="true" outlineLevel="0" collapsed="false">
      <c r="A10" s="13" t="s">
        <v>500</v>
      </c>
      <c r="B10" s="5" t="s">
        <v>511</v>
      </c>
      <c r="C10" s="13" t="s">
        <v>125</v>
      </c>
      <c r="D10" s="32" t="n">
        <v>5</v>
      </c>
      <c r="E10" s="5" t="s">
        <v>520</v>
      </c>
      <c r="F10" s="9" t="n">
        <f aca="false">IF(C10="","",IFERROR(INDEX('Sub-principles'!$E$2:$E$11,MATCH(C10,'Sub-principles'!$A$2:$A$11,0)),""))</f>
        <v>20</v>
      </c>
      <c r="G10" s="33" t="n">
        <f aca="false">IF(OR(D10="",F10=""),"",D10/5*F10)</f>
        <v>20</v>
      </c>
    </row>
    <row r="11" customFormat="false" ht="23.25" hidden="false" customHeight="true" outlineLevel="0" collapsed="false">
      <c r="A11" s="13" t="s">
        <v>500</v>
      </c>
      <c r="B11" s="5" t="s">
        <v>511</v>
      </c>
      <c r="C11" s="13" t="s">
        <v>134</v>
      </c>
      <c r="D11" s="32" t="n">
        <v>3</v>
      </c>
      <c r="E11" s="5" t="s">
        <v>521</v>
      </c>
      <c r="F11" s="9" t="n">
        <f aca="false">IF(C11="","",IFERROR(INDEX('Sub-principles'!$E$2:$E$11,MATCH(C11,'Sub-principles'!$A$2:$A$11,0)),""))</f>
        <v>8</v>
      </c>
      <c r="G11" s="33" t="n">
        <f aca="false">IF(OR(D11="",F11=""),"",D11/5*F11)</f>
        <v>4.8</v>
      </c>
    </row>
    <row r="12" customFormat="false" ht="15" hidden="false" customHeight="true" outlineLevel="0" collapsed="false">
      <c r="A12" s="13" t="s">
        <v>500</v>
      </c>
      <c r="B12" s="5" t="s">
        <v>522</v>
      </c>
      <c r="C12" s="13" t="s">
        <v>53</v>
      </c>
      <c r="D12" s="32" t="n">
        <v>4</v>
      </c>
      <c r="E12" s="5"/>
      <c r="F12" s="9" t="n">
        <f aca="false">IF(C12="","",IFERROR(INDEX('Sub-principles'!$E$2:$E$11,MATCH(C12,'Sub-principles'!$A$2:$A$11,0)),""))</f>
        <v>8</v>
      </c>
      <c r="G12" s="33" t="n">
        <f aca="false">IF(OR(D12="",F12=""),"",D12/5*F12)</f>
        <v>6.4</v>
      </c>
    </row>
    <row r="13" customFormat="false" ht="15" hidden="false" customHeight="true" outlineLevel="0" collapsed="false">
      <c r="A13" s="13" t="s">
        <v>500</v>
      </c>
      <c r="B13" s="5" t="s">
        <v>522</v>
      </c>
      <c r="C13" s="13" t="s">
        <v>62</v>
      </c>
      <c r="D13" s="32" t="n">
        <v>5</v>
      </c>
      <c r="E13" s="5"/>
      <c r="F13" s="9" t="n">
        <f aca="false">IF(C13="","",IFERROR(INDEX('Sub-principles'!$E$2:$E$11,MATCH(C13,'Sub-principles'!$A$2:$A$11,0)),""))</f>
        <v>8</v>
      </c>
      <c r="G13" s="33" t="n">
        <f aca="false">IF(OR(D13="",F13=""),"",D13/5*F13)</f>
        <v>8</v>
      </c>
    </row>
    <row r="14" customFormat="false" ht="15" hidden="false" customHeight="true" outlineLevel="0" collapsed="false">
      <c r="A14" s="13" t="s">
        <v>500</v>
      </c>
      <c r="B14" s="5" t="s">
        <v>522</v>
      </c>
      <c r="C14" s="13" t="s">
        <v>71</v>
      </c>
      <c r="D14" s="32" t="n">
        <v>5</v>
      </c>
      <c r="E14" s="5"/>
      <c r="F14" s="9" t="n">
        <f aca="false">IF(C14="","",IFERROR(INDEX('Sub-principles'!$E$2:$E$11,MATCH(C14,'Sub-principles'!$A$2:$A$11,0)),""))</f>
        <v>8</v>
      </c>
      <c r="G14" s="33" t="n">
        <f aca="false">IF(OR(D14="",F14=""),"",D14/5*F14)</f>
        <v>8</v>
      </c>
    </row>
    <row r="15" customFormat="false" ht="15" hidden="false" customHeight="true" outlineLevel="0" collapsed="false">
      <c r="A15" s="13" t="s">
        <v>500</v>
      </c>
      <c r="B15" s="5" t="s">
        <v>522</v>
      </c>
      <c r="C15" s="13" t="s">
        <v>80</v>
      </c>
      <c r="D15" s="32" t="n">
        <v>5</v>
      </c>
      <c r="E15" s="5"/>
      <c r="F15" s="9" t="n">
        <f aca="false">IF(C15="","",IFERROR(INDEX('Sub-principles'!$E$2:$E$11,MATCH(C15,'Sub-principles'!$A$2:$A$11,0)),""))</f>
        <v>8</v>
      </c>
      <c r="G15" s="33" t="n">
        <f aca="false">IF(OR(D15="",F15=""),"",D15/5*F15)</f>
        <v>8</v>
      </c>
    </row>
    <row r="16" customFormat="false" ht="15" hidden="false" customHeight="true" outlineLevel="0" collapsed="false">
      <c r="A16" s="13" t="s">
        <v>500</v>
      </c>
      <c r="B16" s="5" t="s">
        <v>522</v>
      </c>
      <c r="C16" s="13" t="s">
        <v>89</v>
      </c>
      <c r="D16" s="32" t="n">
        <v>4</v>
      </c>
      <c r="E16" s="5"/>
      <c r="F16" s="9" t="n">
        <f aca="false">IF(C16="","",IFERROR(INDEX('Sub-principles'!$E$2:$E$11,MATCH(C16,'Sub-principles'!$A$2:$A$11,0)),""))</f>
        <v>8</v>
      </c>
      <c r="G16" s="33" t="n">
        <f aca="false">IF(OR(D16="",F16=""),"",D16/5*F16)</f>
        <v>6.4</v>
      </c>
    </row>
    <row r="17" customFormat="false" ht="15" hidden="false" customHeight="true" outlineLevel="0" collapsed="false">
      <c r="A17" s="13" t="s">
        <v>500</v>
      </c>
      <c r="B17" s="5" t="s">
        <v>522</v>
      </c>
      <c r="C17" s="13" t="s">
        <v>98</v>
      </c>
      <c r="D17" s="32" t="n">
        <v>4</v>
      </c>
      <c r="E17" s="5"/>
      <c r="F17" s="9" t="n">
        <f aca="false">IF(C17="","",IFERROR(INDEX('Sub-principles'!$E$2:$E$11,MATCH(C17,'Sub-principles'!$A$2:$A$11,0)),""))</f>
        <v>8</v>
      </c>
      <c r="G17" s="33" t="n">
        <f aca="false">IF(OR(D17="",F17=""),"",D17/5*F17)</f>
        <v>6.4</v>
      </c>
    </row>
    <row r="18" customFormat="false" ht="15" hidden="false" customHeight="true" outlineLevel="0" collapsed="false">
      <c r="A18" s="13" t="s">
        <v>500</v>
      </c>
      <c r="B18" s="5" t="s">
        <v>522</v>
      </c>
      <c r="C18" s="13" t="s">
        <v>107</v>
      </c>
      <c r="D18" s="32" t="n">
        <v>4</v>
      </c>
      <c r="E18" s="5"/>
      <c r="F18" s="9" t="n">
        <f aca="false">IF(C18="","",IFERROR(INDEX('Sub-principles'!$E$2:$E$11,MATCH(C18,'Sub-principles'!$A$2:$A$11,0)),""))</f>
        <v>8</v>
      </c>
      <c r="G18" s="33" t="n">
        <f aca="false">IF(OR(D18="",F18=""),"",D18/5*F18)</f>
        <v>6.4</v>
      </c>
    </row>
    <row r="19" customFormat="false" ht="15" hidden="false" customHeight="true" outlineLevel="0" collapsed="false">
      <c r="A19" s="13" t="s">
        <v>500</v>
      </c>
      <c r="B19" s="5" t="s">
        <v>522</v>
      </c>
      <c r="C19" s="13" t="s">
        <v>116</v>
      </c>
      <c r="D19" s="32" t="n">
        <v>3</v>
      </c>
      <c r="E19" s="5"/>
      <c r="F19" s="9" t="n">
        <f aca="false">IF(C19="","",IFERROR(INDEX('Sub-principles'!$E$2:$E$11,MATCH(C19,'Sub-principles'!$A$2:$A$11,0)),""))</f>
        <v>16</v>
      </c>
      <c r="G19" s="33" t="n">
        <f aca="false">IF(OR(D19="",F19=""),"",D19/5*F19)</f>
        <v>9.6</v>
      </c>
    </row>
    <row r="20" customFormat="false" ht="15" hidden="false" customHeight="true" outlineLevel="0" collapsed="false">
      <c r="A20" s="13" t="s">
        <v>500</v>
      </c>
      <c r="B20" s="5" t="s">
        <v>522</v>
      </c>
      <c r="C20" s="13" t="s">
        <v>125</v>
      </c>
      <c r="D20" s="32" t="n">
        <v>5</v>
      </c>
      <c r="E20" s="5"/>
      <c r="F20" s="9" t="n">
        <f aca="false">IF(C20="","",IFERROR(INDEX('Sub-principles'!$E$2:$E$11,MATCH(C20,'Sub-principles'!$A$2:$A$11,0)),""))</f>
        <v>20</v>
      </c>
      <c r="G20" s="33" t="n">
        <f aca="false">IF(OR(D20="",F20=""),"",D20/5*F20)</f>
        <v>20</v>
      </c>
    </row>
    <row r="21" customFormat="false" ht="15" hidden="false" customHeight="true" outlineLevel="0" collapsed="false">
      <c r="A21" s="13" t="s">
        <v>500</v>
      </c>
      <c r="B21" s="5" t="s">
        <v>522</v>
      </c>
      <c r="C21" s="13" t="s">
        <v>134</v>
      </c>
      <c r="D21" s="32" t="n">
        <v>3</v>
      </c>
      <c r="E21" s="5"/>
      <c r="F21" s="9" t="n">
        <f aca="false">IF(C21="","",IFERROR(INDEX('Sub-principles'!$E$2:$E$11,MATCH(C21,'Sub-principles'!$A$2:$A$11,0)),""))</f>
        <v>8</v>
      </c>
      <c r="G21" s="33" t="n">
        <f aca="false">IF(OR(D21="",F21=""),"",D21/5*F21)</f>
        <v>4.8</v>
      </c>
    </row>
    <row r="22" customFormat="false" ht="23.25" hidden="false" customHeight="true" outlineLevel="0" collapsed="false">
      <c r="A22" s="13" t="s">
        <v>500</v>
      </c>
      <c r="B22" s="5" t="s">
        <v>506</v>
      </c>
      <c r="C22" s="13" t="s">
        <v>53</v>
      </c>
      <c r="D22" s="32" t="n">
        <v>4</v>
      </c>
      <c r="E22" s="5" t="s">
        <v>523</v>
      </c>
      <c r="F22" s="9" t="n">
        <f aca="false">IF(C22="","",IFERROR(INDEX('Sub-principles'!$E$2:$E$11,MATCH(C22,'Sub-principles'!$A$2:$A$11,0)),""))</f>
        <v>8</v>
      </c>
      <c r="G22" s="33" t="n">
        <f aca="false">IF(OR(D22="",F22=""),"",D22/5*F22)</f>
        <v>6.4</v>
      </c>
    </row>
    <row r="23" customFormat="false" ht="45.75" hidden="false" customHeight="true" outlineLevel="0" collapsed="false">
      <c r="A23" s="13" t="s">
        <v>500</v>
      </c>
      <c r="B23" s="5" t="s">
        <v>506</v>
      </c>
      <c r="C23" s="13" t="s">
        <v>62</v>
      </c>
      <c r="D23" s="32" t="n">
        <v>5</v>
      </c>
      <c r="E23" s="5" t="s">
        <v>524</v>
      </c>
      <c r="F23" s="9" t="n">
        <f aca="false">IF(C23="","",IFERROR(INDEX('Sub-principles'!$E$2:$E$11,MATCH(C23,'Sub-principles'!$A$2:$A$11,0)),""))</f>
        <v>8</v>
      </c>
      <c r="G23" s="33" t="n">
        <f aca="false">IF(OR(D23="",F23=""),"",D23/5*F23)</f>
        <v>8</v>
      </c>
    </row>
    <row r="24" customFormat="false" ht="15" hidden="false" customHeight="true" outlineLevel="0" collapsed="false">
      <c r="A24" s="13" t="s">
        <v>500</v>
      </c>
      <c r="B24" s="5" t="s">
        <v>506</v>
      </c>
      <c r="C24" s="13" t="s">
        <v>71</v>
      </c>
      <c r="D24" s="32" t="n">
        <v>5</v>
      </c>
      <c r="E24" s="5" t="s">
        <v>514</v>
      </c>
      <c r="F24" s="9" t="n">
        <f aca="false">IF(C24="","",IFERROR(INDEX('Sub-principles'!$E$2:$E$11,MATCH(C24,'Sub-principles'!$A$2:$A$11,0)),""))</f>
        <v>8</v>
      </c>
      <c r="G24" s="33" t="n">
        <f aca="false">IF(OR(D24="",F24=""),"",D24/5*F24)</f>
        <v>8</v>
      </c>
    </row>
    <row r="25" customFormat="false" ht="15" hidden="false" customHeight="true" outlineLevel="0" collapsed="false">
      <c r="A25" s="13" t="s">
        <v>500</v>
      </c>
      <c r="B25" s="5" t="s">
        <v>506</v>
      </c>
      <c r="C25" s="13" t="s">
        <v>80</v>
      </c>
      <c r="D25" s="32" t="n">
        <v>5</v>
      </c>
      <c r="E25" s="5" t="s">
        <v>515</v>
      </c>
      <c r="F25" s="9" t="n">
        <f aca="false">IF(C25="","",IFERROR(INDEX('Sub-principles'!$E$2:$E$11,MATCH(C25,'Sub-principles'!$A$2:$A$11,0)),""))</f>
        <v>8</v>
      </c>
      <c r="G25" s="33" t="n">
        <f aca="false">IF(OR(D25="",F25=""),"",D25/5*F25)</f>
        <v>8</v>
      </c>
    </row>
    <row r="26" customFormat="false" ht="23.25" hidden="false" customHeight="true" outlineLevel="0" collapsed="false">
      <c r="A26" s="13" t="s">
        <v>500</v>
      </c>
      <c r="B26" s="5" t="s">
        <v>506</v>
      </c>
      <c r="C26" s="13" t="s">
        <v>89</v>
      </c>
      <c r="D26" s="32" t="n">
        <v>4</v>
      </c>
      <c r="E26" s="5" t="s">
        <v>516</v>
      </c>
      <c r="F26" s="9" t="n">
        <f aca="false">IF(C26="","",IFERROR(INDEX('Sub-principles'!$E$2:$E$11,MATCH(C26,'Sub-principles'!$A$2:$A$11,0)),""))</f>
        <v>8</v>
      </c>
      <c r="G26" s="33" t="n">
        <f aca="false">IF(OR(D26="",F26=""),"",D26/5*F26)</f>
        <v>6.4</v>
      </c>
    </row>
    <row r="27" customFormat="false" ht="34.5" hidden="false" customHeight="true" outlineLevel="0" collapsed="false">
      <c r="A27" s="13" t="s">
        <v>500</v>
      </c>
      <c r="B27" s="5" t="s">
        <v>506</v>
      </c>
      <c r="C27" s="13" t="s">
        <v>98</v>
      </c>
      <c r="D27" s="32" t="n">
        <v>4</v>
      </c>
      <c r="E27" s="5" t="s">
        <v>517</v>
      </c>
      <c r="F27" s="9" t="n">
        <f aca="false">IF(C27="","",IFERROR(INDEX('Sub-principles'!$E$2:$E$11,MATCH(C27,'Sub-principles'!$A$2:$A$11,0)),""))</f>
        <v>8</v>
      </c>
      <c r="G27" s="33" t="n">
        <f aca="false">IF(OR(D27="",F27=""),"",D27/5*F27)</f>
        <v>6.4</v>
      </c>
    </row>
    <row r="28" customFormat="false" ht="15" hidden="false" customHeight="true" outlineLevel="0" collapsed="false">
      <c r="A28" s="13" t="s">
        <v>500</v>
      </c>
      <c r="B28" s="5" t="s">
        <v>506</v>
      </c>
      <c r="C28" s="13" t="s">
        <v>107</v>
      </c>
      <c r="D28" s="32" t="n">
        <v>4</v>
      </c>
      <c r="E28" s="5" t="s">
        <v>518</v>
      </c>
      <c r="F28" s="9" t="n">
        <f aca="false">IF(C28="","",IFERROR(INDEX('Sub-principles'!$E$2:$E$11,MATCH(C28,'Sub-principles'!$A$2:$A$11,0)),""))</f>
        <v>8</v>
      </c>
      <c r="G28" s="33" t="n">
        <f aca="false">IF(OR(D28="",F28=""),"",D28/5*F28)</f>
        <v>6.4</v>
      </c>
    </row>
    <row r="29" customFormat="false" ht="15" hidden="false" customHeight="true" outlineLevel="0" collapsed="false">
      <c r="A29" s="13" t="s">
        <v>500</v>
      </c>
      <c r="B29" s="5" t="s">
        <v>506</v>
      </c>
      <c r="C29" s="13" t="s">
        <v>116</v>
      </c>
      <c r="D29" s="32" t="n">
        <v>3</v>
      </c>
      <c r="E29" s="5" t="s">
        <v>519</v>
      </c>
      <c r="F29" s="9" t="n">
        <f aca="false">IF(C29="","",IFERROR(INDEX('Sub-principles'!$E$2:$E$11,MATCH(C29,'Sub-principles'!$A$2:$A$11,0)),""))</f>
        <v>16</v>
      </c>
      <c r="G29" s="33" t="n">
        <f aca="false">IF(OR(D29="",F29=""),"",D29/5*F29)</f>
        <v>9.6</v>
      </c>
    </row>
    <row r="30" customFormat="false" ht="15" hidden="false" customHeight="true" outlineLevel="0" collapsed="false">
      <c r="A30" s="13" t="s">
        <v>500</v>
      </c>
      <c r="B30" s="5" t="s">
        <v>506</v>
      </c>
      <c r="C30" s="13" t="s">
        <v>125</v>
      </c>
      <c r="D30" s="32" t="n">
        <v>5</v>
      </c>
      <c r="E30" s="5" t="s">
        <v>520</v>
      </c>
      <c r="F30" s="9" t="n">
        <f aca="false">IF(C30="","",IFERROR(INDEX('Sub-principles'!$E$2:$E$11,MATCH(C30,'Sub-principles'!$A$2:$A$11,0)),""))</f>
        <v>20</v>
      </c>
      <c r="G30" s="33" t="n">
        <f aca="false">IF(OR(D30="",F30=""),"",D30/5*F30)</f>
        <v>20</v>
      </c>
    </row>
    <row r="31" customFormat="false" ht="23.25" hidden="false" customHeight="true" outlineLevel="0" collapsed="false">
      <c r="A31" s="13" t="s">
        <v>500</v>
      </c>
      <c r="B31" s="5" t="s">
        <v>506</v>
      </c>
      <c r="C31" s="13" t="s">
        <v>134</v>
      </c>
      <c r="D31" s="32" t="n">
        <v>3</v>
      </c>
      <c r="E31" s="5" t="s">
        <v>521</v>
      </c>
      <c r="F31" s="9" t="n">
        <f aca="false">IF(C31="","",IFERROR(INDEX('Sub-principles'!$E$2:$E$11,MATCH(C31,'Sub-principles'!$A$2:$A$11,0)),""))</f>
        <v>8</v>
      </c>
      <c r="G31" s="33" t="n">
        <f aca="false">IF(OR(D31="",F31=""),"",D31/5*F31)</f>
        <v>4.8</v>
      </c>
    </row>
    <row r="32" customFormat="false" ht="23.25" hidden="false" customHeight="true" outlineLevel="0" collapsed="false">
      <c r="A32" s="13" t="s">
        <v>500</v>
      </c>
      <c r="B32" s="5" t="s">
        <v>525</v>
      </c>
      <c r="C32" s="13" t="s">
        <v>53</v>
      </c>
      <c r="D32" s="32" t="n">
        <v>4</v>
      </c>
      <c r="E32" s="5" t="s">
        <v>523</v>
      </c>
      <c r="F32" s="9" t="n">
        <f aca="false">IF(C32="","",IFERROR(INDEX('Sub-principles'!$E$2:$E$11,MATCH(C32,'Sub-principles'!$A$2:$A$11,0)),""))</f>
        <v>8</v>
      </c>
      <c r="G32" s="33" t="n">
        <f aca="false">IF(OR(D32="",F32=""),"",D32/5*F32)</f>
        <v>6.4</v>
      </c>
    </row>
    <row r="33" customFormat="false" ht="45.75" hidden="false" customHeight="true" outlineLevel="0" collapsed="false">
      <c r="A33" s="13" t="s">
        <v>500</v>
      </c>
      <c r="B33" s="5" t="s">
        <v>525</v>
      </c>
      <c r="C33" s="13" t="s">
        <v>62</v>
      </c>
      <c r="D33" s="32" t="n">
        <v>5</v>
      </c>
      <c r="E33" s="5" t="s">
        <v>524</v>
      </c>
      <c r="F33" s="9" t="n">
        <f aca="false">IF(C33="","",IFERROR(INDEX('Sub-principles'!$E$2:$E$11,MATCH(C33,'Sub-principles'!$A$2:$A$11,0)),""))</f>
        <v>8</v>
      </c>
      <c r="G33" s="33" t="n">
        <f aca="false">IF(OR(D33="",F33=""),"",D33/5*F33)</f>
        <v>8</v>
      </c>
    </row>
    <row r="34" customFormat="false" ht="15" hidden="false" customHeight="true" outlineLevel="0" collapsed="false">
      <c r="A34" s="13" t="s">
        <v>500</v>
      </c>
      <c r="B34" s="5" t="s">
        <v>525</v>
      </c>
      <c r="C34" s="13" t="s">
        <v>71</v>
      </c>
      <c r="D34" s="32" t="n">
        <v>5</v>
      </c>
      <c r="E34" s="5" t="s">
        <v>514</v>
      </c>
      <c r="F34" s="9" t="n">
        <f aca="false">IF(C34="","",IFERROR(INDEX('Sub-principles'!$E$2:$E$11,MATCH(C34,'Sub-principles'!$A$2:$A$11,0)),""))</f>
        <v>8</v>
      </c>
      <c r="G34" s="33" t="n">
        <f aca="false">IF(OR(D34="",F34=""),"",D34/5*F34)</f>
        <v>8</v>
      </c>
    </row>
    <row r="35" customFormat="false" ht="15" hidden="false" customHeight="true" outlineLevel="0" collapsed="false">
      <c r="A35" s="13" t="s">
        <v>500</v>
      </c>
      <c r="B35" s="5" t="s">
        <v>525</v>
      </c>
      <c r="C35" s="13" t="s">
        <v>80</v>
      </c>
      <c r="D35" s="32" t="n">
        <v>5</v>
      </c>
      <c r="E35" s="5" t="s">
        <v>515</v>
      </c>
      <c r="F35" s="9" t="n">
        <f aca="false">IF(C35="","",IFERROR(INDEX('Sub-principles'!$E$2:$E$11,MATCH(C35,'Sub-principles'!$A$2:$A$11,0)),""))</f>
        <v>8</v>
      </c>
      <c r="G35" s="33" t="n">
        <f aca="false">IF(OR(D35="",F35=""),"",D35/5*F35)</f>
        <v>8</v>
      </c>
    </row>
    <row r="36" customFormat="false" ht="23.25" hidden="false" customHeight="true" outlineLevel="0" collapsed="false">
      <c r="A36" s="13" t="s">
        <v>500</v>
      </c>
      <c r="B36" s="5" t="s">
        <v>525</v>
      </c>
      <c r="C36" s="13" t="s">
        <v>89</v>
      </c>
      <c r="D36" s="32" t="n">
        <v>4</v>
      </c>
      <c r="E36" s="5" t="s">
        <v>516</v>
      </c>
      <c r="F36" s="9" t="n">
        <f aca="false">IF(C36="","",IFERROR(INDEX('Sub-principles'!$E$2:$E$11,MATCH(C36,'Sub-principles'!$A$2:$A$11,0)),""))</f>
        <v>8</v>
      </c>
      <c r="G36" s="33" t="n">
        <f aca="false">IF(OR(D36="",F36=""),"",D36/5*F36)</f>
        <v>6.4</v>
      </c>
    </row>
    <row r="37" customFormat="false" ht="34.5" hidden="false" customHeight="true" outlineLevel="0" collapsed="false">
      <c r="A37" s="13" t="s">
        <v>500</v>
      </c>
      <c r="B37" s="5" t="s">
        <v>525</v>
      </c>
      <c r="C37" s="13" t="s">
        <v>98</v>
      </c>
      <c r="D37" s="32" t="n">
        <v>4</v>
      </c>
      <c r="E37" s="5" t="s">
        <v>517</v>
      </c>
      <c r="F37" s="9" t="n">
        <f aca="false">IF(C37="","",IFERROR(INDEX('Sub-principles'!$E$2:$E$11,MATCH(C37,'Sub-principles'!$A$2:$A$11,0)),""))</f>
        <v>8</v>
      </c>
      <c r="G37" s="33" t="n">
        <f aca="false">IF(OR(D37="",F37=""),"",D37/5*F37)</f>
        <v>6.4</v>
      </c>
    </row>
    <row r="38" customFormat="false" ht="15" hidden="false" customHeight="true" outlineLevel="0" collapsed="false">
      <c r="A38" s="13" t="s">
        <v>500</v>
      </c>
      <c r="B38" s="5" t="s">
        <v>525</v>
      </c>
      <c r="C38" s="13" t="s">
        <v>107</v>
      </c>
      <c r="D38" s="32" t="n">
        <v>4</v>
      </c>
      <c r="E38" s="5" t="s">
        <v>518</v>
      </c>
      <c r="F38" s="9" t="n">
        <f aca="false">IF(C38="","",IFERROR(INDEX('Sub-principles'!$E$2:$E$11,MATCH(C38,'Sub-principles'!$A$2:$A$11,0)),""))</f>
        <v>8</v>
      </c>
      <c r="G38" s="33" t="n">
        <f aca="false">IF(OR(D38="",F38=""),"",D38/5*F38)</f>
        <v>6.4</v>
      </c>
    </row>
    <row r="39" customFormat="false" ht="15" hidden="false" customHeight="true" outlineLevel="0" collapsed="false">
      <c r="A39" s="13" t="s">
        <v>500</v>
      </c>
      <c r="B39" s="5" t="s">
        <v>525</v>
      </c>
      <c r="C39" s="13" t="s">
        <v>116</v>
      </c>
      <c r="D39" s="32" t="n">
        <v>3</v>
      </c>
      <c r="E39" s="5" t="s">
        <v>519</v>
      </c>
      <c r="F39" s="9" t="n">
        <f aca="false">IF(C39="","",IFERROR(INDEX('Sub-principles'!$E$2:$E$11,MATCH(C39,'Sub-principles'!$A$2:$A$11,0)),""))</f>
        <v>16</v>
      </c>
      <c r="G39" s="33" t="n">
        <f aca="false">IF(OR(D39="",F39=""),"",D39/5*F39)</f>
        <v>9.6</v>
      </c>
    </row>
    <row r="40" customFormat="false" ht="15" hidden="false" customHeight="true" outlineLevel="0" collapsed="false">
      <c r="A40" s="13" t="s">
        <v>500</v>
      </c>
      <c r="B40" s="5" t="s">
        <v>525</v>
      </c>
      <c r="C40" s="13" t="s">
        <v>125</v>
      </c>
      <c r="D40" s="32" t="n">
        <v>5</v>
      </c>
      <c r="E40" s="5" t="s">
        <v>520</v>
      </c>
      <c r="F40" s="9" t="n">
        <f aca="false">IF(C40="","",IFERROR(INDEX('Sub-principles'!$E$2:$E$11,MATCH(C40,'Sub-principles'!$A$2:$A$11,0)),""))</f>
        <v>20</v>
      </c>
      <c r="G40" s="33" t="n">
        <f aca="false">IF(OR(D40="",F40=""),"",D40/5*F40)</f>
        <v>20</v>
      </c>
    </row>
    <row r="41" customFormat="false" ht="23.25" hidden="false" customHeight="true" outlineLevel="0" collapsed="false">
      <c r="A41" s="13" t="s">
        <v>500</v>
      </c>
      <c r="B41" s="5" t="s">
        <v>525</v>
      </c>
      <c r="C41" s="13" t="s">
        <v>134</v>
      </c>
      <c r="D41" s="32" t="n">
        <v>3</v>
      </c>
      <c r="E41" s="5" t="s">
        <v>521</v>
      </c>
      <c r="F41" s="9" t="n">
        <f aca="false">IF(C41="","",IFERROR(INDEX('Sub-principles'!$E$2:$E$11,MATCH(C41,'Sub-principles'!$A$2:$A$11,0)),""))</f>
        <v>8</v>
      </c>
      <c r="G41" s="33" t="n">
        <f aca="false">IF(OR(D41="",F41=""),"",D41/5*F41)</f>
        <v>4.8</v>
      </c>
    </row>
    <row r="42" customFormat="false" ht="15" hidden="false" customHeight="true" outlineLevel="0" collapsed="false">
      <c r="A42" s="13" t="s">
        <v>500</v>
      </c>
      <c r="B42" s="5" t="s">
        <v>526</v>
      </c>
      <c r="C42" s="13" t="s">
        <v>53</v>
      </c>
      <c r="D42" s="32" t="n">
        <v>4</v>
      </c>
      <c r="E42" s="5"/>
      <c r="F42" s="9" t="n">
        <f aca="false">IF(C42="","",IFERROR(INDEX('Sub-principles'!$E$2:$E$11,MATCH(C42,'Sub-principles'!$A$2:$A$11,0)),""))</f>
        <v>8</v>
      </c>
      <c r="G42" s="33" t="n">
        <f aca="false">IF(OR(D42="",F42=""),"",D42/5*F42)</f>
        <v>6.4</v>
      </c>
    </row>
    <row r="43" customFormat="false" ht="15" hidden="false" customHeight="true" outlineLevel="0" collapsed="false">
      <c r="A43" s="13" t="s">
        <v>500</v>
      </c>
      <c r="B43" s="5" t="s">
        <v>526</v>
      </c>
      <c r="C43" s="13" t="s">
        <v>62</v>
      </c>
      <c r="D43" s="32" t="n">
        <v>5</v>
      </c>
      <c r="E43" s="5"/>
      <c r="F43" s="9" t="n">
        <f aca="false">IF(C43="","",IFERROR(INDEX('Sub-principles'!$E$2:$E$11,MATCH(C43,'Sub-principles'!$A$2:$A$11,0)),""))</f>
        <v>8</v>
      </c>
      <c r="G43" s="33" t="n">
        <f aca="false">IF(OR(D43="",F43=""),"",D43/5*F43)</f>
        <v>8</v>
      </c>
    </row>
    <row r="44" customFormat="false" ht="15" hidden="false" customHeight="true" outlineLevel="0" collapsed="false">
      <c r="A44" s="13" t="s">
        <v>500</v>
      </c>
      <c r="B44" s="5" t="s">
        <v>526</v>
      </c>
      <c r="C44" s="13" t="s">
        <v>71</v>
      </c>
      <c r="D44" s="32" t="n">
        <v>5</v>
      </c>
      <c r="E44" s="5"/>
      <c r="F44" s="9" t="n">
        <f aca="false">IF(C44="","",IFERROR(INDEX('Sub-principles'!$E$2:$E$11,MATCH(C44,'Sub-principles'!$A$2:$A$11,0)),""))</f>
        <v>8</v>
      </c>
      <c r="G44" s="33" t="n">
        <f aca="false">IF(OR(D44="",F44=""),"",D44/5*F44)</f>
        <v>8</v>
      </c>
    </row>
    <row r="45" customFormat="false" ht="15" hidden="false" customHeight="true" outlineLevel="0" collapsed="false">
      <c r="A45" s="13" t="s">
        <v>500</v>
      </c>
      <c r="B45" s="5" t="s">
        <v>526</v>
      </c>
      <c r="C45" s="13" t="s">
        <v>80</v>
      </c>
      <c r="D45" s="32" t="n">
        <v>5</v>
      </c>
      <c r="E45" s="5"/>
      <c r="F45" s="9" t="n">
        <f aca="false">IF(C45="","",IFERROR(INDEX('Sub-principles'!$E$2:$E$11,MATCH(C45,'Sub-principles'!$A$2:$A$11,0)),""))</f>
        <v>8</v>
      </c>
      <c r="G45" s="33" t="n">
        <f aca="false">IF(OR(D45="",F45=""),"",D45/5*F45)</f>
        <v>8</v>
      </c>
    </row>
    <row r="46" customFormat="false" ht="15" hidden="false" customHeight="true" outlineLevel="0" collapsed="false">
      <c r="A46" s="13" t="s">
        <v>500</v>
      </c>
      <c r="B46" s="5" t="s">
        <v>526</v>
      </c>
      <c r="C46" s="13" t="s">
        <v>89</v>
      </c>
      <c r="D46" s="32" t="n">
        <v>4</v>
      </c>
      <c r="E46" s="5"/>
      <c r="F46" s="9" t="n">
        <f aca="false">IF(C46="","",IFERROR(INDEX('Sub-principles'!$E$2:$E$11,MATCH(C46,'Sub-principles'!$A$2:$A$11,0)),""))</f>
        <v>8</v>
      </c>
      <c r="G46" s="33" t="n">
        <f aca="false">IF(OR(D46="",F46=""),"",D46/5*F46)</f>
        <v>6.4</v>
      </c>
    </row>
    <row r="47" customFormat="false" ht="15" hidden="false" customHeight="true" outlineLevel="0" collapsed="false">
      <c r="A47" s="13" t="s">
        <v>500</v>
      </c>
      <c r="B47" s="5" t="s">
        <v>526</v>
      </c>
      <c r="C47" s="13" t="s">
        <v>98</v>
      </c>
      <c r="D47" s="32" t="n">
        <v>4</v>
      </c>
      <c r="E47" s="5"/>
      <c r="F47" s="9" t="n">
        <f aca="false">IF(C47="","",IFERROR(INDEX('Sub-principles'!$E$2:$E$11,MATCH(C47,'Sub-principles'!$A$2:$A$11,0)),""))</f>
        <v>8</v>
      </c>
      <c r="G47" s="33" t="n">
        <f aca="false">IF(OR(D47="",F47=""),"",D47/5*F47)</f>
        <v>6.4</v>
      </c>
    </row>
    <row r="48" customFormat="false" ht="15" hidden="false" customHeight="true" outlineLevel="0" collapsed="false">
      <c r="A48" s="13" t="s">
        <v>500</v>
      </c>
      <c r="B48" s="5" t="s">
        <v>526</v>
      </c>
      <c r="C48" s="13" t="s">
        <v>107</v>
      </c>
      <c r="D48" s="32" t="n">
        <v>4</v>
      </c>
      <c r="E48" s="5"/>
      <c r="F48" s="9" t="n">
        <f aca="false">IF(C48="","",IFERROR(INDEX('Sub-principles'!$E$2:$E$11,MATCH(C48,'Sub-principles'!$A$2:$A$11,0)),""))</f>
        <v>8</v>
      </c>
      <c r="G48" s="33" t="n">
        <f aca="false">IF(OR(D48="",F48=""),"",D48/5*F48)</f>
        <v>6.4</v>
      </c>
    </row>
    <row r="49" customFormat="false" ht="15" hidden="false" customHeight="true" outlineLevel="0" collapsed="false">
      <c r="A49" s="13" t="s">
        <v>500</v>
      </c>
      <c r="B49" s="5" t="s">
        <v>526</v>
      </c>
      <c r="C49" s="13" t="s">
        <v>116</v>
      </c>
      <c r="D49" s="32" t="n">
        <v>3</v>
      </c>
      <c r="E49" s="5"/>
      <c r="F49" s="9" t="n">
        <f aca="false">IF(C49="","",IFERROR(INDEX('Sub-principles'!$E$2:$E$11,MATCH(C49,'Sub-principles'!$A$2:$A$11,0)),""))</f>
        <v>16</v>
      </c>
      <c r="G49" s="33" t="n">
        <f aca="false">IF(OR(D49="",F49=""),"",D49/5*F49)</f>
        <v>9.6</v>
      </c>
    </row>
    <row r="50" customFormat="false" ht="15" hidden="false" customHeight="true" outlineLevel="0" collapsed="false">
      <c r="A50" s="13" t="s">
        <v>500</v>
      </c>
      <c r="B50" s="5" t="s">
        <v>526</v>
      </c>
      <c r="C50" s="13" t="s">
        <v>125</v>
      </c>
      <c r="D50" s="32" t="n">
        <v>5</v>
      </c>
      <c r="E50" s="5"/>
      <c r="F50" s="9" t="n">
        <f aca="false">IF(C50="","",IFERROR(INDEX('Sub-principles'!$E$2:$E$11,MATCH(C50,'Sub-principles'!$A$2:$A$11,0)),""))</f>
        <v>20</v>
      </c>
      <c r="G50" s="33" t="n">
        <f aca="false">IF(OR(D50="",F50=""),"",D50/5*F50)</f>
        <v>20</v>
      </c>
    </row>
    <row r="51" customFormat="false" ht="15" hidden="false" customHeight="true" outlineLevel="0" collapsed="false">
      <c r="A51" s="13" t="s">
        <v>500</v>
      </c>
      <c r="B51" s="5" t="s">
        <v>526</v>
      </c>
      <c r="C51" s="13" t="s">
        <v>134</v>
      </c>
      <c r="D51" s="32" t="n">
        <v>3</v>
      </c>
      <c r="E51" s="5"/>
      <c r="F51" s="9" t="n">
        <f aca="false">IF(C51="","",IFERROR(INDEX('Sub-principles'!$E$2:$E$11,MATCH(C51,'Sub-principles'!$A$2:$A$11,0)),""))</f>
        <v>8</v>
      </c>
      <c r="G51" s="33" t="n">
        <f aca="false">IF(OR(D51="",F51=""),"",D51/5*F51)</f>
        <v>4.8</v>
      </c>
    </row>
    <row r="52" customFormat="false" ht="23.25" hidden="false" customHeight="true" outlineLevel="0" collapsed="false">
      <c r="A52" s="13" t="s">
        <v>500</v>
      </c>
      <c r="B52" s="5" t="s">
        <v>527</v>
      </c>
      <c r="C52" s="13" t="s">
        <v>53</v>
      </c>
      <c r="D52" s="32" t="n">
        <v>4</v>
      </c>
      <c r="E52" s="5" t="s">
        <v>523</v>
      </c>
      <c r="F52" s="9" t="n">
        <f aca="false">IF(C52="","",IFERROR(INDEX('Sub-principles'!$E$2:$E$11,MATCH(C52,'Sub-principles'!$A$2:$A$11,0)),""))</f>
        <v>8</v>
      </c>
      <c r="G52" s="33" t="n">
        <f aca="false">IF(OR(D52="",F52=""),"",D52/5*F52)</f>
        <v>6.4</v>
      </c>
    </row>
    <row r="53" customFormat="false" ht="45.75" hidden="false" customHeight="true" outlineLevel="0" collapsed="false">
      <c r="A53" s="13" t="s">
        <v>500</v>
      </c>
      <c r="B53" s="5" t="s">
        <v>527</v>
      </c>
      <c r="C53" s="13" t="s">
        <v>62</v>
      </c>
      <c r="D53" s="32" t="n">
        <v>5</v>
      </c>
      <c r="E53" s="5" t="s">
        <v>524</v>
      </c>
      <c r="F53" s="9" t="n">
        <f aca="false">IF(C53="","",IFERROR(INDEX('Sub-principles'!$E$2:$E$11,MATCH(C53,'Sub-principles'!$A$2:$A$11,0)),""))</f>
        <v>8</v>
      </c>
      <c r="G53" s="33" t="n">
        <f aca="false">IF(OR(D53="",F53=""),"",D53/5*F53)</f>
        <v>8</v>
      </c>
    </row>
    <row r="54" customFormat="false" ht="15" hidden="false" customHeight="true" outlineLevel="0" collapsed="false">
      <c r="A54" s="13" t="s">
        <v>500</v>
      </c>
      <c r="B54" s="5" t="s">
        <v>527</v>
      </c>
      <c r="C54" s="13" t="s">
        <v>71</v>
      </c>
      <c r="D54" s="32" t="n">
        <v>5</v>
      </c>
      <c r="E54" s="5" t="s">
        <v>514</v>
      </c>
      <c r="F54" s="9" t="n">
        <f aca="false">IF(C54="","",IFERROR(INDEX('Sub-principles'!$E$2:$E$11,MATCH(C54,'Sub-principles'!$A$2:$A$11,0)),""))</f>
        <v>8</v>
      </c>
      <c r="G54" s="33" t="n">
        <f aca="false">IF(OR(D54="",F54=""),"",D54/5*F54)</f>
        <v>8</v>
      </c>
    </row>
    <row r="55" customFormat="false" ht="15" hidden="false" customHeight="true" outlineLevel="0" collapsed="false">
      <c r="A55" s="13" t="s">
        <v>500</v>
      </c>
      <c r="B55" s="5" t="s">
        <v>527</v>
      </c>
      <c r="C55" s="13" t="s">
        <v>80</v>
      </c>
      <c r="D55" s="32" t="n">
        <v>5</v>
      </c>
      <c r="E55" s="5" t="s">
        <v>515</v>
      </c>
      <c r="F55" s="9" t="n">
        <f aca="false">IF(C55="","",IFERROR(INDEX('Sub-principles'!$E$2:$E$11,MATCH(C55,'Sub-principles'!$A$2:$A$11,0)),""))</f>
        <v>8</v>
      </c>
      <c r="G55" s="33" t="n">
        <f aca="false">IF(OR(D55="",F55=""),"",D55/5*F55)</f>
        <v>8</v>
      </c>
    </row>
    <row r="56" customFormat="false" ht="23.25" hidden="false" customHeight="true" outlineLevel="0" collapsed="false">
      <c r="A56" s="13" t="s">
        <v>500</v>
      </c>
      <c r="B56" s="5" t="s">
        <v>527</v>
      </c>
      <c r="C56" s="13" t="s">
        <v>89</v>
      </c>
      <c r="D56" s="32" t="n">
        <v>4</v>
      </c>
      <c r="E56" s="5" t="s">
        <v>516</v>
      </c>
      <c r="F56" s="9" t="n">
        <f aca="false">IF(C56="","",IFERROR(INDEX('Sub-principles'!$E$2:$E$11,MATCH(C56,'Sub-principles'!$A$2:$A$11,0)),""))</f>
        <v>8</v>
      </c>
      <c r="G56" s="33" t="n">
        <f aca="false">IF(OR(D56="",F56=""),"",D56/5*F56)</f>
        <v>6.4</v>
      </c>
    </row>
    <row r="57" customFormat="false" ht="34.5" hidden="false" customHeight="true" outlineLevel="0" collapsed="false">
      <c r="A57" s="13" t="s">
        <v>500</v>
      </c>
      <c r="B57" s="5" t="s">
        <v>527</v>
      </c>
      <c r="C57" s="13" t="s">
        <v>98</v>
      </c>
      <c r="D57" s="32" t="n">
        <v>4</v>
      </c>
      <c r="E57" s="5" t="s">
        <v>517</v>
      </c>
      <c r="F57" s="9" t="n">
        <f aca="false">IF(C57="","",IFERROR(INDEX('Sub-principles'!$E$2:$E$11,MATCH(C57,'Sub-principles'!$A$2:$A$11,0)),""))</f>
        <v>8</v>
      </c>
      <c r="G57" s="33" t="n">
        <f aca="false">IF(OR(D57="",F57=""),"",D57/5*F57)</f>
        <v>6.4</v>
      </c>
    </row>
    <row r="58" customFormat="false" ht="15" hidden="false" customHeight="true" outlineLevel="0" collapsed="false">
      <c r="A58" s="13" t="s">
        <v>500</v>
      </c>
      <c r="B58" s="5" t="s">
        <v>527</v>
      </c>
      <c r="C58" s="13" t="s">
        <v>107</v>
      </c>
      <c r="D58" s="32" t="n">
        <v>4</v>
      </c>
      <c r="E58" s="5" t="s">
        <v>518</v>
      </c>
      <c r="F58" s="9" t="n">
        <f aca="false">IF(C58="","",IFERROR(INDEX('Sub-principles'!$E$2:$E$11,MATCH(C58,'Sub-principles'!$A$2:$A$11,0)),""))</f>
        <v>8</v>
      </c>
      <c r="G58" s="33" t="n">
        <f aca="false">IF(OR(D58="",F58=""),"",D58/5*F58)</f>
        <v>6.4</v>
      </c>
    </row>
    <row r="59" customFormat="false" ht="15" hidden="false" customHeight="true" outlineLevel="0" collapsed="false">
      <c r="A59" s="13" t="s">
        <v>500</v>
      </c>
      <c r="B59" s="5" t="s">
        <v>527</v>
      </c>
      <c r="C59" s="13" t="s">
        <v>116</v>
      </c>
      <c r="D59" s="32" t="n">
        <v>3</v>
      </c>
      <c r="E59" s="5" t="s">
        <v>519</v>
      </c>
      <c r="F59" s="9" t="n">
        <f aca="false">IF(C59="","",IFERROR(INDEX('Sub-principles'!$E$2:$E$11,MATCH(C59,'Sub-principles'!$A$2:$A$11,0)),""))</f>
        <v>16</v>
      </c>
      <c r="G59" s="33" t="n">
        <f aca="false">IF(OR(D59="",F59=""),"",D59/5*F59)</f>
        <v>9.6</v>
      </c>
    </row>
    <row r="60" customFormat="false" ht="15" hidden="false" customHeight="true" outlineLevel="0" collapsed="false">
      <c r="A60" s="13" t="s">
        <v>500</v>
      </c>
      <c r="B60" s="5" t="s">
        <v>527</v>
      </c>
      <c r="C60" s="13" t="s">
        <v>125</v>
      </c>
      <c r="D60" s="32" t="n">
        <v>5</v>
      </c>
      <c r="E60" s="5" t="s">
        <v>520</v>
      </c>
      <c r="F60" s="9" t="n">
        <f aca="false">IF(C60="","",IFERROR(INDEX('Sub-principles'!$E$2:$E$11,MATCH(C60,'Sub-principles'!$A$2:$A$11,0)),""))</f>
        <v>20</v>
      </c>
      <c r="G60" s="33" t="n">
        <f aca="false">IF(OR(D60="",F60=""),"",D60/5*F60)</f>
        <v>20</v>
      </c>
    </row>
    <row r="61" customFormat="false" ht="23.25" hidden="false" customHeight="true" outlineLevel="0" collapsed="false">
      <c r="A61" s="13" t="s">
        <v>500</v>
      </c>
      <c r="B61" s="5" t="s">
        <v>527</v>
      </c>
      <c r="C61" s="13" t="s">
        <v>134</v>
      </c>
      <c r="D61" s="32" t="n">
        <v>3</v>
      </c>
      <c r="E61" s="5" t="s">
        <v>521</v>
      </c>
      <c r="F61" s="9" t="n">
        <f aca="false">IF(C61="","",IFERROR(INDEX('Sub-principles'!$E$2:$E$11,MATCH(C61,'Sub-principles'!$A$2:$A$11,0)),""))</f>
        <v>8</v>
      </c>
      <c r="G61" s="33" t="n">
        <f aca="false">IF(OR(D61="",F61=""),"",D61/5*F61)</f>
        <v>4.8</v>
      </c>
    </row>
    <row r="62" customFormat="false" ht="15" hidden="false" customHeight="true" outlineLevel="0" collapsed="false">
      <c r="A62" s="30"/>
      <c r="C62" s="30"/>
      <c r="F62" s="9" t="str">
        <f aca="false">IF(C62="","",IFERROR(INDEX('Sub-principles'!$E$2:$E$11,MATCH(C62,'Sub-principles'!$A$2:$A$11,0)),""))</f>
        <v/>
      </c>
      <c r="G62" s="33" t="str">
        <f aca="false">IF(OR(D62="",F62=""),"",D62/5*F62)</f>
        <v/>
      </c>
    </row>
    <row r="63" customFormat="false" ht="15" hidden="false" customHeight="true" outlineLevel="0" collapsed="false">
      <c r="A63" s="30"/>
      <c r="C63" s="30"/>
      <c r="F63" s="9" t="str">
        <f aca="false">IF(C63="","",IFERROR(INDEX('Sub-principles'!$E$2:$E$11,MATCH(C63,'Sub-principles'!$A$2:$A$11,0)),""))</f>
        <v/>
      </c>
      <c r="G63" s="33" t="str">
        <f aca="false">IF(OR(D63="",F63=""),"",D63/5*F63)</f>
        <v/>
      </c>
    </row>
    <row r="64" customFormat="false" ht="15" hidden="false" customHeight="true" outlineLevel="0" collapsed="false">
      <c r="A64" s="30"/>
      <c r="C64" s="30"/>
      <c r="F64" s="9" t="str">
        <f aca="false">IF(C64="","",IFERROR(INDEX('Sub-principles'!$E$2:$E$11,MATCH(C64,'Sub-principles'!$A$2:$A$11,0)),""))</f>
        <v/>
      </c>
      <c r="G64" s="33" t="str">
        <f aca="false">IF(OR(D64="",F64=""),"",D64/5*F64)</f>
        <v/>
      </c>
    </row>
    <row r="65" customFormat="false" ht="15" hidden="false" customHeight="true" outlineLevel="0" collapsed="false">
      <c r="A65" s="30"/>
      <c r="C65" s="30"/>
      <c r="F65" s="9" t="str">
        <f aca="false">IF(C65="","",IFERROR(INDEX('Sub-principles'!$E$2:$E$11,MATCH(C65,'Sub-principles'!$A$2:$A$11,0)),""))</f>
        <v/>
      </c>
      <c r="G65" s="33" t="str">
        <f aca="false">IF(OR(D65="",F65=""),"",D65/5*F65)</f>
        <v/>
      </c>
    </row>
    <row r="66" customFormat="false" ht="15" hidden="false" customHeight="true" outlineLevel="0" collapsed="false">
      <c r="A66" s="30"/>
      <c r="C66" s="30"/>
      <c r="F66" s="9" t="str">
        <f aca="false">IF(C66="","",IFERROR(INDEX('Sub-principles'!$E$2:$E$11,MATCH(C66,'Sub-principles'!$A$2:$A$11,0)),""))</f>
        <v/>
      </c>
      <c r="G66" s="33" t="str">
        <f aca="false">IF(OR(D66="",F66=""),"",D66/5*F66)</f>
        <v/>
      </c>
    </row>
    <row r="67" customFormat="false" ht="15" hidden="false" customHeight="true" outlineLevel="0" collapsed="false">
      <c r="A67" s="30"/>
      <c r="C67" s="30"/>
      <c r="F67" s="9" t="str">
        <f aca="false">IF(C67="","",IFERROR(INDEX('Sub-principles'!$E$2:$E$11,MATCH(C67,'Sub-principles'!$A$2:$A$11,0)),""))</f>
        <v/>
      </c>
      <c r="G67" s="33" t="str">
        <f aca="false">IF(OR(D67="",F67=""),"",D67/5*F67)</f>
        <v/>
      </c>
    </row>
    <row r="68" customFormat="false" ht="15" hidden="false" customHeight="true" outlineLevel="0" collapsed="false">
      <c r="A68" s="30"/>
      <c r="C68" s="30"/>
      <c r="F68" s="9" t="str">
        <f aca="false">IF(C68="","",IFERROR(INDEX('Sub-principles'!$E$2:$E$11,MATCH(C68,'Sub-principles'!$A$2:$A$11,0)),""))</f>
        <v/>
      </c>
      <c r="G68" s="33" t="str">
        <f aca="false">IF(OR(D68="",F68=""),"",D68/5*F68)</f>
        <v/>
      </c>
    </row>
    <row r="69" customFormat="false" ht="15" hidden="false" customHeight="true" outlineLevel="0" collapsed="false">
      <c r="A69" s="30"/>
      <c r="C69" s="30"/>
      <c r="F69" s="9" t="str">
        <f aca="false">IF(C69="","",IFERROR(INDEX('Sub-principles'!$E$2:$E$11,MATCH(C69,'Sub-principles'!$A$2:$A$11,0)),""))</f>
        <v/>
      </c>
      <c r="G69" s="33" t="str">
        <f aca="false">IF(OR(D69="",F69=""),"",D69/5*F69)</f>
        <v/>
      </c>
    </row>
    <row r="70" customFormat="false" ht="15" hidden="false" customHeight="true" outlineLevel="0" collapsed="false">
      <c r="A70" s="30"/>
      <c r="C70" s="30"/>
      <c r="F70" s="9" t="str">
        <f aca="false">IF(C70="","",IFERROR(INDEX('Sub-principles'!$E$2:$E$11,MATCH(C70,'Sub-principles'!$A$2:$A$11,0)),""))</f>
        <v/>
      </c>
      <c r="G70" s="33" t="str">
        <f aca="false">IF(OR(D70="",F70=""),"",D70/5*F70)</f>
        <v/>
      </c>
    </row>
    <row r="71" customFormat="false" ht="15" hidden="false" customHeight="true" outlineLevel="0" collapsed="false">
      <c r="A71" s="30"/>
      <c r="C71" s="30"/>
      <c r="F71" s="9" t="str">
        <f aca="false">IF(C71="","",IFERROR(INDEX('Sub-principles'!$E$2:$E$11,MATCH(C71,'Sub-principles'!$A$2:$A$11,0)),""))</f>
        <v/>
      </c>
      <c r="G71" s="33" t="str">
        <f aca="false">IF(OR(D71="",F71=""),"",D71/5*F71)</f>
        <v/>
      </c>
    </row>
    <row r="72" customFormat="false" ht="15" hidden="false" customHeight="true" outlineLevel="0" collapsed="false">
      <c r="A72" s="30"/>
      <c r="C72" s="30"/>
      <c r="F72" s="9" t="str">
        <f aca="false">IF(C72="","",IFERROR(INDEX('Sub-principles'!$E$2:$E$11,MATCH(C72,'Sub-principles'!$A$2:$A$11,0)),""))</f>
        <v/>
      </c>
      <c r="G72" s="33" t="str">
        <f aca="false">IF(OR(D72="",F72=""),"",D72/5*F72)</f>
        <v/>
      </c>
    </row>
    <row r="73" customFormat="false" ht="15" hidden="false" customHeight="true" outlineLevel="0" collapsed="false">
      <c r="A73" s="30"/>
      <c r="C73" s="30"/>
      <c r="F73" s="9" t="str">
        <f aca="false">IF(C73="","",IFERROR(INDEX('Sub-principles'!$E$2:$E$11,MATCH(C73,'Sub-principles'!$A$2:$A$11,0)),""))</f>
        <v/>
      </c>
      <c r="G73" s="33" t="str">
        <f aca="false">IF(OR(D73="",F73=""),"",D73/5*F73)</f>
        <v/>
      </c>
    </row>
    <row r="74" customFormat="false" ht="15" hidden="false" customHeight="true" outlineLevel="0" collapsed="false">
      <c r="A74" s="30"/>
      <c r="C74" s="30"/>
      <c r="F74" s="9" t="str">
        <f aca="false">IF(C74="","",IFERROR(INDEX('Sub-principles'!$E$2:$E$11,MATCH(C74,'Sub-principles'!$A$2:$A$11,0)),""))</f>
        <v/>
      </c>
      <c r="G74" s="33" t="str">
        <f aca="false">IF(OR(D74="",F74=""),"",D74/5*F74)</f>
        <v/>
      </c>
    </row>
    <row r="75" customFormat="false" ht="15" hidden="false" customHeight="true" outlineLevel="0" collapsed="false">
      <c r="A75" s="30"/>
      <c r="C75" s="30"/>
      <c r="F75" s="9" t="str">
        <f aca="false">IF(C75="","",IFERROR(INDEX('Sub-principles'!$E$2:$E$11,MATCH(C75,'Sub-principles'!$A$2:$A$11,0)),""))</f>
        <v/>
      </c>
      <c r="G75" s="33" t="str">
        <f aca="false">IF(OR(D75="",F75=""),"",D75/5*F75)</f>
        <v/>
      </c>
    </row>
    <row r="76" customFormat="false" ht="15" hidden="false" customHeight="true" outlineLevel="0" collapsed="false">
      <c r="A76" s="30"/>
      <c r="C76" s="30"/>
      <c r="F76" s="9" t="str">
        <f aca="false">IF(C76="","",IFERROR(INDEX('Sub-principles'!$E$2:$E$11,MATCH(C76,'Sub-principles'!$A$2:$A$11,0)),""))</f>
        <v/>
      </c>
      <c r="G76" s="33" t="str">
        <f aca="false">IF(OR(D76="",F76=""),"",D76/5*F76)</f>
        <v/>
      </c>
    </row>
    <row r="77" customFormat="false" ht="15" hidden="false" customHeight="true" outlineLevel="0" collapsed="false">
      <c r="A77" s="30"/>
      <c r="C77" s="30"/>
      <c r="F77" s="9" t="str">
        <f aca="false">IF(C77="","",IFERROR(INDEX('Sub-principles'!$E$2:$E$11,MATCH(C77,'Sub-principles'!$A$2:$A$11,0)),""))</f>
        <v/>
      </c>
      <c r="G77" s="33" t="str">
        <f aca="false">IF(OR(D77="",F77=""),"",D77/5*F77)</f>
        <v/>
      </c>
    </row>
    <row r="78" customFormat="false" ht="15" hidden="false" customHeight="true" outlineLevel="0" collapsed="false">
      <c r="A78" s="30"/>
      <c r="C78" s="30"/>
      <c r="F78" s="9" t="str">
        <f aca="false">IF(C78="","",IFERROR(INDEX('Sub-principles'!$E$2:$E$11,MATCH(C78,'Sub-principles'!$A$2:$A$11,0)),""))</f>
        <v/>
      </c>
      <c r="G78" s="33" t="str">
        <f aca="false">IF(OR(D78="",F78=""),"",D78/5*F78)</f>
        <v/>
      </c>
    </row>
    <row r="79" customFormat="false" ht="15" hidden="false" customHeight="true" outlineLevel="0" collapsed="false">
      <c r="A79" s="30"/>
      <c r="C79" s="30"/>
      <c r="F79" s="9" t="str">
        <f aca="false">IF(C79="","",IFERROR(INDEX('Sub-principles'!$E$2:$E$11,MATCH(C79,'Sub-principles'!$A$2:$A$11,0)),""))</f>
        <v/>
      </c>
      <c r="G79" s="33" t="str">
        <f aca="false">IF(OR(D79="",F79=""),"",D79/5*F79)</f>
        <v/>
      </c>
    </row>
    <row r="80" customFormat="false" ht="15" hidden="false" customHeight="true" outlineLevel="0" collapsed="false">
      <c r="A80" s="30"/>
      <c r="C80" s="30"/>
      <c r="F80" s="9" t="str">
        <f aca="false">IF(C80="","",IFERROR(INDEX('Sub-principles'!$E$2:$E$11,MATCH(C80,'Sub-principles'!$A$2:$A$11,0)),""))</f>
        <v/>
      </c>
      <c r="G80" s="33" t="str">
        <f aca="false">IF(OR(D80="",F80=""),"",D80/5*F80)</f>
        <v/>
      </c>
    </row>
    <row r="81" customFormat="false" ht="15" hidden="false" customHeight="true" outlineLevel="0" collapsed="false">
      <c r="A81" s="30"/>
      <c r="C81" s="30"/>
      <c r="F81" s="9" t="str">
        <f aca="false">IF(C81="","",IFERROR(INDEX('Sub-principles'!$E$2:$E$11,MATCH(C81,'Sub-principles'!$A$2:$A$11,0)),""))</f>
        <v/>
      </c>
      <c r="G81" s="33" t="str">
        <f aca="false">IF(OR(D81="",F81=""),"",D81/5*F81)</f>
        <v/>
      </c>
    </row>
    <row r="82" customFormat="false" ht="15" hidden="false" customHeight="true" outlineLevel="0" collapsed="false">
      <c r="A82" s="30"/>
      <c r="C82" s="30"/>
      <c r="F82" s="9" t="str">
        <f aca="false">IF(C82="","",IFERROR(INDEX('Sub-principles'!$E$2:$E$11,MATCH(C82,'Sub-principles'!$A$2:$A$11,0)),""))</f>
        <v/>
      </c>
      <c r="G82" s="33" t="str">
        <f aca="false">IF(OR(D82="",F82=""),"",D82/5*F82)</f>
        <v/>
      </c>
    </row>
    <row r="83" customFormat="false" ht="15" hidden="false" customHeight="true" outlineLevel="0" collapsed="false">
      <c r="A83" s="30"/>
      <c r="C83" s="30"/>
      <c r="F83" s="9" t="str">
        <f aca="false">IF(C83="","",IFERROR(INDEX('Sub-principles'!$E$2:$E$11,MATCH(C83,'Sub-principles'!$A$2:$A$11,0)),""))</f>
        <v/>
      </c>
      <c r="G83" s="33" t="str">
        <f aca="false">IF(OR(D83="",F83=""),"",D83/5*F83)</f>
        <v/>
      </c>
    </row>
    <row r="84" customFormat="false" ht="15" hidden="false" customHeight="true" outlineLevel="0" collapsed="false">
      <c r="A84" s="30"/>
      <c r="C84" s="30"/>
      <c r="F84" s="9" t="str">
        <f aca="false">IF(C84="","",IFERROR(INDEX('Sub-principles'!$E$2:$E$11,MATCH(C84,'Sub-principles'!$A$2:$A$11,0)),""))</f>
        <v/>
      </c>
      <c r="G84" s="33" t="str">
        <f aca="false">IF(OR(D84="",F84=""),"",D84/5*F84)</f>
        <v/>
      </c>
    </row>
    <row r="85" customFormat="false" ht="15" hidden="false" customHeight="true" outlineLevel="0" collapsed="false">
      <c r="A85" s="30"/>
      <c r="C85" s="30"/>
      <c r="F85" s="9" t="str">
        <f aca="false">IF(C85="","",IFERROR(INDEX('Sub-principles'!$E$2:$E$11,MATCH(C85,'Sub-principles'!$A$2:$A$11,0)),""))</f>
        <v/>
      </c>
      <c r="G85" s="33" t="str">
        <f aca="false">IF(OR(D85="",F85=""),"",D85/5*F85)</f>
        <v/>
      </c>
    </row>
    <row r="86" customFormat="false" ht="15" hidden="false" customHeight="true" outlineLevel="0" collapsed="false">
      <c r="A86" s="30"/>
      <c r="C86" s="30"/>
      <c r="F86" s="9" t="str">
        <f aca="false">IF(C86="","",IFERROR(INDEX('Sub-principles'!$E$2:$E$11,MATCH(C86,'Sub-principles'!$A$2:$A$11,0)),""))</f>
        <v/>
      </c>
      <c r="G86" s="33" t="str">
        <f aca="false">IF(OR(D86="",F86=""),"",D86/5*F86)</f>
        <v/>
      </c>
    </row>
    <row r="87" customFormat="false" ht="15" hidden="false" customHeight="true" outlineLevel="0" collapsed="false">
      <c r="A87" s="30"/>
      <c r="C87" s="30"/>
      <c r="F87" s="9" t="str">
        <f aca="false">IF(C87="","",IFERROR(INDEX('Sub-principles'!$E$2:$E$11,MATCH(C87,'Sub-principles'!$A$2:$A$11,0)),""))</f>
        <v/>
      </c>
      <c r="G87" s="33" t="str">
        <f aca="false">IF(OR(D87="",F87=""),"",D87/5*F87)</f>
        <v/>
      </c>
    </row>
    <row r="88" customFormat="false" ht="15" hidden="false" customHeight="true" outlineLevel="0" collapsed="false">
      <c r="A88" s="30"/>
      <c r="C88" s="30"/>
      <c r="F88" s="9" t="str">
        <f aca="false">IF(C88="","",IFERROR(INDEX('Sub-principles'!$E$2:$E$11,MATCH(C88,'Sub-principles'!$A$2:$A$11,0)),""))</f>
        <v/>
      </c>
      <c r="G88" s="33" t="str">
        <f aca="false">IF(OR(D88="",F88=""),"",D88/5*F88)</f>
        <v/>
      </c>
    </row>
    <row r="89" customFormat="false" ht="15" hidden="false" customHeight="true" outlineLevel="0" collapsed="false">
      <c r="A89" s="30"/>
      <c r="C89" s="30"/>
      <c r="F89" s="9" t="str">
        <f aca="false">IF(C89="","",IFERROR(INDEX('Sub-principles'!$E$2:$E$11,MATCH(C89,'Sub-principles'!$A$2:$A$11,0)),""))</f>
        <v/>
      </c>
      <c r="G89" s="33" t="str">
        <f aca="false">IF(OR(D89="",F89=""),"",D89/5*F89)</f>
        <v/>
      </c>
    </row>
    <row r="90" customFormat="false" ht="15" hidden="false" customHeight="true" outlineLevel="0" collapsed="false">
      <c r="A90" s="30"/>
      <c r="C90" s="30"/>
      <c r="F90" s="9" t="str">
        <f aca="false">IF(C90="","",IFERROR(INDEX('Sub-principles'!$E$2:$E$11,MATCH(C90,'Sub-principles'!$A$2:$A$11,0)),""))</f>
        <v/>
      </c>
      <c r="G90" s="33" t="str">
        <f aca="false">IF(OR(D90="",F90=""),"",D90/5*F90)</f>
        <v/>
      </c>
    </row>
    <row r="91" customFormat="false" ht="15" hidden="false" customHeight="true" outlineLevel="0" collapsed="false">
      <c r="A91" s="30"/>
      <c r="C91" s="30"/>
      <c r="F91" s="9" t="str">
        <f aca="false">IF(C91="","",IFERROR(INDEX('Sub-principles'!$E$2:$E$11,MATCH(C91,'Sub-principles'!$A$2:$A$11,0)),""))</f>
        <v/>
      </c>
      <c r="G91" s="33" t="str">
        <f aca="false">IF(OR(D91="",F91=""),"",D91/5*F91)</f>
        <v/>
      </c>
    </row>
    <row r="92" customFormat="false" ht="15" hidden="false" customHeight="true" outlineLevel="0" collapsed="false">
      <c r="A92" s="30"/>
      <c r="C92" s="30"/>
      <c r="F92" s="9" t="str">
        <f aca="false">IF(C92="","",IFERROR(INDEX('Sub-principles'!$E$2:$E$11,MATCH(C92,'Sub-principles'!$A$2:$A$11,0)),""))</f>
        <v/>
      </c>
      <c r="G92" s="33" t="str">
        <f aca="false">IF(OR(D92="",F92=""),"",D92/5*F92)</f>
        <v/>
      </c>
    </row>
    <row r="93" customFormat="false" ht="15" hidden="false" customHeight="true" outlineLevel="0" collapsed="false">
      <c r="A93" s="30"/>
      <c r="C93" s="30"/>
      <c r="F93" s="9" t="str">
        <f aca="false">IF(C93="","",IFERROR(INDEX('Sub-principles'!$E$2:$E$11,MATCH(C93,'Sub-principles'!$A$2:$A$11,0)),""))</f>
        <v/>
      </c>
      <c r="G93" s="33" t="str">
        <f aca="false">IF(OR(D93="",F93=""),"",D93/5*F93)</f>
        <v/>
      </c>
    </row>
    <row r="94" customFormat="false" ht="15" hidden="false" customHeight="true" outlineLevel="0" collapsed="false">
      <c r="A94" s="30"/>
      <c r="C94" s="30"/>
      <c r="F94" s="9" t="str">
        <f aca="false">IF(C94="","",IFERROR(INDEX('Sub-principles'!$E$2:$E$11,MATCH(C94,'Sub-principles'!$A$2:$A$11,0)),""))</f>
        <v/>
      </c>
      <c r="G94" s="33" t="str">
        <f aca="false">IF(OR(D94="",F94=""),"",D94/5*F94)</f>
        <v/>
      </c>
    </row>
    <row r="95" customFormat="false" ht="15" hidden="false" customHeight="true" outlineLevel="0" collapsed="false">
      <c r="A95" s="30"/>
      <c r="C95" s="30"/>
      <c r="F95" s="9" t="str">
        <f aca="false">IF(C95="","",IFERROR(INDEX('Sub-principles'!$E$2:$E$11,MATCH(C95,'Sub-principles'!$A$2:$A$11,0)),""))</f>
        <v/>
      </c>
      <c r="G95" s="33" t="str">
        <f aca="false">IF(OR(D95="",F95=""),"",D95/5*F95)</f>
        <v/>
      </c>
    </row>
    <row r="96" customFormat="false" ht="15" hidden="false" customHeight="true" outlineLevel="0" collapsed="false">
      <c r="A96" s="30"/>
      <c r="C96" s="30"/>
      <c r="F96" s="9" t="str">
        <f aca="false">IF(C96="","",IFERROR(INDEX('Sub-principles'!$E$2:$E$11,MATCH(C96,'Sub-principles'!$A$2:$A$11,0)),""))</f>
        <v/>
      </c>
      <c r="G96" s="33" t="str">
        <f aca="false">IF(OR(D96="",F96=""),"",D96/5*F96)</f>
        <v/>
      </c>
    </row>
    <row r="97" customFormat="false" ht="15" hidden="false" customHeight="true" outlineLevel="0" collapsed="false">
      <c r="A97" s="30"/>
      <c r="C97" s="30"/>
      <c r="F97" s="9" t="str">
        <f aca="false">IF(C97="","",IFERROR(INDEX('Sub-principles'!$E$2:$E$11,MATCH(C97,'Sub-principles'!$A$2:$A$11,0)),""))</f>
        <v/>
      </c>
      <c r="G97" s="33" t="str">
        <f aca="false">IF(OR(D97="",F97=""),"",D97/5*F97)</f>
        <v/>
      </c>
    </row>
    <row r="98" customFormat="false" ht="15" hidden="false" customHeight="true" outlineLevel="0" collapsed="false">
      <c r="A98" s="30"/>
      <c r="C98" s="30"/>
      <c r="F98" s="9" t="str">
        <f aca="false">IF(C98="","",IFERROR(INDEX('Sub-principles'!$E$2:$E$11,MATCH(C98,'Sub-principles'!$A$2:$A$11,0)),""))</f>
        <v/>
      </c>
      <c r="G98" s="33" t="str">
        <f aca="false">IF(OR(D98="",F98=""),"",D98/5*F98)</f>
        <v/>
      </c>
    </row>
    <row r="99" customFormat="false" ht="15" hidden="false" customHeight="true" outlineLevel="0" collapsed="false">
      <c r="A99" s="30"/>
      <c r="C99" s="30"/>
      <c r="F99" s="9" t="str">
        <f aca="false">IF(C99="","",IFERROR(INDEX('Sub-principles'!$E$2:$E$11,MATCH(C99,'Sub-principles'!$A$2:$A$11,0)),""))</f>
        <v/>
      </c>
      <c r="G99" s="33" t="str">
        <f aca="false">IF(OR(D99="",F99=""),"",D99/5*F99)</f>
        <v/>
      </c>
    </row>
    <row r="100" customFormat="false" ht="15" hidden="false" customHeight="true" outlineLevel="0" collapsed="false">
      <c r="A100" s="30"/>
      <c r="C100" s="30"/>
      <c r="F100" s="9" t="str">
        <f aca="false">IF(C100="","",IFERROR(INDEX('Sub-principles'!$E$2:$E$11,MATCH(C100,'Sub-principles'!$A$2:$A$11,0)),""))</f>
        <v/>
      </c>
      <c r="G100" s="33" t="str">
        <f aca="false">IF(OR(D100="",F100=""),"",D100/5*F100)</f>
        <v/>
      </c>
    </row>
    <row r="101" customFormat="false" ht="15" hidden="false" customHeight="true" outlineLevel="0" collapsed="false">
      <c r="A101" s="30"/>
      <c r="C101" s="30"/>
      <c r="F101" s="9" t="str">
        <f aca="false">IF(C101="","",IFERROR(INDEX('Sub-principles'!$E$2:$E$11,MATCH(C101,'Sub-principles'!$A$2:$A$11,0)),""))</f>
        <v/>
      </c>
      <c r="G101" s="33" t="str">
        <f aca="false">IF(OR(D101="",F101=""),"",D101/5*F101)</f>
        <v/>
      </c>
    </row>
    <row r="102" customFormat="false" ht="15" hidden="false" customHeight="true" outlineLevel="0" collapsed="false">
      <c r="A102" s="30"/>
      <c r="C102" s="30"/>
      <c r="F102" s="9" t="str">
        <f aca="false">IF(C102="","",IFERROR(INDEX('Sub-principles'!$E$2:$E$11,MATCH(C102,'Sub-principles'!$A$2:$A$11,0)),""))</f>
        <v/>
      </c>
      <c r="G102" s="33" t="str">
        <f aca="false">IF(OR(D102="",F102=""),"",D102/5*F102)</f>
        <v/>
      </c>
    </row>
    <row r="103" customFormat="false" ht="15" hidden="false" customHeight="true" outlineLevel="0" collapsed="false">
      <c r="A103" s="30"/>
      <c r="C103" s="30"/>
      <c r="F103" s="9" t="str">
        <f aca="false">IF(C103="","",IFERROR(INDEX('Sub-principles'!$E$2:$E$11,MATCH(C103,'Sub-principles'!$A$2:$A$11,0)),""))</f>
        <v/>
      </c>
      <c r="G103" s="33" t="str">
        <f aca="false">IF(OR(D103="",F103=""),"",D103/5*F103)</f>
        <v/>
      </c>
    </row>
    <row r="104" customFormat="false" ht="15" hidden="false" customHeight="true" outlineLevel="0" collapsed="false">
      <c r="A104" s="30"/>
      <c r="C104" s="30"/>
      <c r="F104" s="9" t="str">
        <f aca="false">IF(C104="","",IFERROR(INDEX('Sub-principles'!$E$2:$E$11,MATCH(C104,'Sub-principles'!$A$2:$A$11,0)),""))</f>
        <v/>
      </c>
      <c r="G104" s="33" t="str">
        <f aca="false">IF(OR(D104="",F104=""),"",D104/5*F104)</f>
        <v/>
      </c>
    </row>
    <row r="105" customFormat="false" ht="15" hidden="false" customHeight="true" outlineLevel="0" collapsed="false">
      <c r="A105" s="30"/>
      <c r="C105" s="30"/>
      <c r="F105" s="9" t="str">
        <f aca="false">IF(C105="","",IFERROR(INDEX('Sub-principles'!$E$2:$E$11,MATCH(C105,'Sub-principles'!$A$2:$A$11,0)),""))</f>
        <v/>
      </c>
      <c r="G105" s="33" t="str">
        <f aca="false">IF(OR(D105="",F105=""),"",D105/5*F105)</f>
        <v/>
      </c>
    </row>
    <row r="106" customFormat="false" ht="15" hidden="false" customHeight="true" outlineLevel="0" collapsed="false">
      <c r="A106" s="30"/>
      <c r="C106" s="30"/>
      <c r="F106" s="9" t="str">
        <f aca="false">IF(C106="","",IFERROR(INDEX('Sub-principles'!$E$2:$E$11,MATCH(C106,'Sub-principles'!$A$2:$A$11,0)),""))</f>
        <v/>
      </c>
      <c r="G106" s="33" t="str">
        <f aca="false">IF(OR(D106="",F106=""),"",D106/5*F106)</f>
        <v/>
      </c>
    </row>
    <row r="107" customFormat="false" ht="15" hidden="false" customHeight="true" outlineLevel="0" collapsed="false">
      <c r="A107" s="30"/>
      <c r="C107" s="30"/>
      <c r="F107" s="9" t="str">
        <f aca="false">IF(C107="","",IFERROR(INDEX('Sub-principles'!$E$2:$E$11,MATCH(C107,'Sub-principles'!$A$2:$A$11,0)),""))</f>
        <v/>
      </c>
      <c r="G107" s="33" t="str">
        <f aca="false">IF(OR(D107="",F107=""),"",D107/5*F107)</f>
        <v/>
      </c>
    </row>
    <row r="108" customFormat="false" ht="15" hidden="false" customHeight="true" outlineLevel="0" collapsed="false">
      <c r="A108" s="30"/>
      <c r="C108" s="30"/>
      <c r="F108" s="9" t="str">
        <f aca="false">IF(C108="","",IFERROR(INDEX('Sub-principles'!$E$2:$E$11,MATCH(C108,'Sub-principles'!$A$2:$A$11,0)),""))</f>
        <v/>
      </c>
      <c r="G108" s="33" t="str">
        <f aca="false">IF(OR(D108="",F108=""),"",D108/5*F108)</f>
        <v/>
      </c>
    </row>
    <row r="109" customFormat="false" ht="15" hidden="false" customHeight="true" outlineLevel="0" collapsed="false">
      <c r="A109" s="30"/>
      <c r="C109" s="30"/>
      <c r="F109" s="9" t="str">
        <f aca="false">IF(C109="","",IFERROR(INDEX('Sub-principles'!$E$2:$E$11,MATCH(C109,'Sub-principles'!$A$2:$A$11,0)),""))</f>
        <v/>
      </c>
      <c r="G109" s="33" t="str">
        <f aca="false">IF(OR(D109="",F109=""),"",D109/5*F109)</f>
        <v/>
      </c>
    </row>
    <row r="110" customFormat="false" ht="15" hidden="false" customHeight="true" outlineLevel="0" collapsed="false">
      <c r="A110" s="30"/>
      <c r="C110" s="30"/>
      <c r="F110" s="9" t="str">
        <f aca="false">IF(C110="","",IFERROR(INDEX('Sub-principles'!$E$2:$E$11,MATCH(C110,'Sub-principles'!$A$2:$A$11,0)),""))</f>
        <v/>
      </c>
      <c r="G110" s="33" t="str">
        <f aca="false">IF(OR(D110="",F110=""),"",D110/5*F110)</f>
        <v/>
      </c>
    </row>
    <row r="111" customFormat="false" ht="15" hidden="false" customHeight="true" outlineLevel="0" collapsed="false">
      <c r="A111" s="30"/>
      <c r="C111" s="30"/>
      <c r="F111" s="9" t="str">
        <f aca="false">IF(C111="","",IFERROR(INDEX('Sub-principles'!$E$2:$E$11,MATCH(C111,'Sub-principles'!$A$2:$A$11,0)),""))</f>
        <v/>
      </c>
      <c r="G111" s="33" t="str">
        <f aca="false">IF(OR(D111="",F111=""),"",D111/5*F111)</f>
        <v/>
      </c>
    </row>
    <row r="112" customFormat="false" ht="15" hidden="false" customHeight="true" outlineLevel="0" collapsed="false">
      <c r="A112" s="30"/>
      <c r="C112" s="30"/>
      <c r="F112" s="9" t="str">
        <f aca="false">IF(C112="","",IFERROR(INDEX('Sub-principles'!$E$2:$E$11,MATCH(C112,'Sub-principles'!$A$2:$A$11,0)),""))</f>
        <v/>
      </c>
      <c r="G112" s="33" t="str">
        <f aca="false">IF(OR(D112="",F112=""),"",D112/5*F112)</f>
        <v/>
      </c>
    </row>
    <row r="113" customFormat="false" ht="15" hidden="false" customHeight="true" outlineLevel="0" collapsed="false">
      <c r="A113" s="30"/>
      <c r="C113" s="30"/>
      <c r="F113" s="9" t="str">
        <f aca="false">IF(C113="","",IFERROR(INDEX('Sub-principles'!$E$2:$E$11,MATCH(C113,'Sub-principles'!$A$2:$A$11,0)),""))</f>
        <v/>
      </c>
      <c r="G113" s="33" t="str">
        <f aca="false">IF(OR(D113="",F113=""),"",D113/5*F113)</f>
        <v/>
      </c>
    </row>
    <row r="114" customFormat="false" ht="15" hidden="false" customHeight="true" outlineLevel="0" collapsed="false">
      <c r="A114" s="30"/>
      <c r="C114" s="30"/>
      <c r="F114" s="9" t="str">
        <f aca="false">IF(C114="","",IFERROR(INDEX('Sub-principles'!$E$2:$E$11,MATCH(C114,'Sub-principles'!$A$2:$A$11,0)),""))</f>
        <v/>
      </c>
      <c r="G114" s="33" t="str">
        <f aca="false">IF(OR(D114="",F114=""),"",D114/5*F114)</f>
        <v/>
      </c>
    </row>
    <row r="115" customFormat="false" ht="15" hidden="false" customHeight="true" outlineLevel="0" collapsed="false">
      <c r="A115" s="30"/>
      <c r="C115" s="30"/>
      <c r="F115" s="9" t="str">
        <f aca="false">IF(C115="","",IFERROR(INDEX('Sub-principles'!$E$2:$E$11,MATCH(C115,'Sub-principles'!$A$2:$A$11,0)),""))</f>
        <v/>
      </c>
      <c r="G115" s="33" t="str">
        <f aca="false">IF(OR(D115="",F115=""),"",D115/5*F115)</f>
        <v/>
      </c>
    </row>
    <row r="116" customFormat="false" ht="15" hidden="false" customHeight="true" outlineLevel="0" collapsed="false">
      <c r="A116" s="30"/>
      <c r="C116" s="30"/>
      <c r="F116" s="9" t="str">
        <f aca="false">IF(C116="","",IFERROR(INDEX('Sub-principles'!$E$2:$E$11,MATCH(C116,'Sub-principles'!$A$2:$A$11,0)),""))</f>
        <v/>
      </c>
      <c r="G116" s="33" t="str">
        <f aca="false">IF(OR(D116="",F116=""),"",D116/5*F116)</f>
        <v/>
      </c>
    </row>
    <row r="117" customFormat="false" ht="15" hidden="false" customHeight="true" outlineLevel="0" collapsed="false">
      <c r="A117" s="30"/>
      <c r="C117" s="30"/>
      <c r="F117" s="9" t="str">
        <f aca="false">IF(C117="","",IFERROR(INDEX('Sub-principles'!$E$2:$E$11,MATCH(C117,'Sub-principles'!$A$2:$A$11,0)),""))</f>
        <v/>
      </c>
      <c r="G117" s="33" t="str">
        <f aca="false">IF(OR(D117="",F117=""),"",D117/5*F117)</f>
        <v/>
      </c>
    </row>
    <row r="118" customFormat="false" ht="15" hidden="false" customHeight="true" outlineLevel="0" collapsed="false">
      <c r="A118" s="30"/>
      <c r="C118" s="30"/>
      <c r="F118" s="9" t="str">
        <f aca="false">IF(C118="","",IFERROR(INDEX('Sub-principles'!$E$2:$E$11,MATCH(C118,'Sub-principles'!$A$2:$A$11,0)),""))</f>
        <v/>
      </c>
      <c r="G118" s="33" t="str">
        <f aca="false">IF(OR(D118="",F118=""),"",D118/5*F118)</f>
        <v/>
      </c>
    </row>
    <row r="119" customFormat="false" ht="15" hidden="false" customHeight="true" outlineLevel="0" collapsed="false">
      <c r="A119" s="30"/>
      <c r="C119" s="30"/>
      <c r="F119" s="9" t="str">
        <f aca="false">IF(C119="","",IFERROR(INDEX('Sub-principles'!$E$2:$E$11,MATCH(C119,'Sub-principles'!$A$2:$A$11,0)),""))</f>
        <v/>
      </c>
      <c r="G119" s="33" t="str">
        <f aca="false">IF(OR(D119="",F119=""),"",D119/5*F119)</f>
        <v/>
      </c>
    </row>
    <row r="120" customFormat="false" ht="15" hidden="false" customHeight="true" outlineLevel="0" collapsed="false">
      <c r="A120" s="30"/>
      <c r="C120" s="30"/>
      <c r="F120" s="9" t="str">
        <f aca="false">IF(C120="","",IFERROR(INDEX('Sub-principles'!$E$2:$E$11,MATCH(C120,'Sub-principles'!$A$2:$A$11,0)),""))</f>
        <v/>
      </c>
      <c r="G120" s="33" t="str">
        <f aca="false">IF(OR(D120="",F120=""),"",D120/5*F120)</f>
        <v/>
      </c>
    </row>
    <row r="121" customFormat="false" ht="15" hidden="false" customHeight="true" outlineLevel="0" collapsed="false">
      <c r="A121" s="30"/>
      <c r="C121" s="30"/>
      <c r="F121" s="9" t="str">
        <f aca="false">IF(C121="","",IFERROR(INDEX('Sub-principles'!$E$2:$E$11,MATCH(C121,'Sub-principles'!$A$2:$A$11,0)),""))</f>
        <v/>
      </c>
      <c r="G121" s="33" t="str">
        <f aca="false">IF(OR(D121="",F121=""),"",D121/5*F121)</f>
        <v/>
      </c>
    </row>
    <row r="122" customFormat="false" ht="15" hidden="false" customHeight="true" outlineLevel="0" collapsed="false">
      <c r="A122" s="30"/>
      <c r="C122" s="30"/>
      <c r="F122" s="9" t="str">
        <f aca="false">IF(C122="","",IFERROR(INDEX('Sub-principles'!$E$2:$E$11,MATCH(C122,'Sub-principles'!$A$2:$A$11,0)),""))</f>
        <v/>
      </c>
      <c r="G122" s="33" t="str">
        <f aca="false">IF(OR(D122="",F122=""),"",D122/5*F122)</f>
        <v/>
      </c>
    </row>
    <row r="123" customFormat="false" ht="15" hidden="false" customHeight="true" outlineLevel="0" collapsed="false">
      <c r="A123" s="30"/>
      <c r="C123" s="30"/>
      <c r="F123" s="9" t="str">
        <f aca="false">IF(C123="","",IFERROR(INDEX('Sub-principles'!$E$2:$E$11,MATCH(C123,'Sub-principles'!$A$2:$A$11,0)),""))</f>
        <v/>
      </c>
      <c r="G123" s="33" t="str">
        <f aca="false">IF(OR(D123="",F123=""),"",D123/5*F123)</f>
        <v/>
      </c>
    </row>
    <row r="124" customFormat="false" ht="15" hidden="false" customHeight="true" outlineLevel="0" collapsed="false">
      <c r="A124" s="30"/>
      <c r="C124" s="30"/>
      <c r="F124" s="9" t="str">
        <f aca="false">IF(C124="","",IFERROR(INDEX('Sub-principles'!$E$2:$E$11,MATCH(C124,'Sub-principles'!$A$2:$A$11,0)),""))</f>
        <v/>
      </c>
      <c r="G124" s="33" t="str">
        <f aca="false">IF(OR(D124="",F124=""),"",D124/5*F124)</f>
        <v/>
      </c>
    </row>
    <row r="125" customFormat="false" ht="15" hidden="false" customHeight="true" outlineLevel="0" collapsed="false">
      <c r="A125" s="30"/>
      <c r="C125" s="30"/>
      <c r="F125" s="9" t="str">
        <f aca="false">IF(C125="","",IFERROR(INDEX('Sub-principles'!$E$2:$E$11,MATCH(C125,'Sub-principles'!$A$2:$A$11,0)),""))</f>
        <v/>
      </c>
      <c r="G125" s="33" t="str">
        <f aca="false">IF(OR(D125="",F125=""),"",D125/5*F125)</f>
        <v/>
      </c>
    </row>
    <row r="126" customFormat="false" ht="15" hidden="false" customHeight="true" outlineLevel="0" collapsed="false">
      <c r="A126" s="30"/>
      <c r="C126" s="30"/>
      <c r="F126" s="9" t="str">
        <f aca="false">IF(C126="","",IFERROR(INDEX('Sub-principles'!$E$2:$E$11,MATCH(C126,'Sub-principles'!$A$2:$A$11,0)),""))</f>
        <v/>
      </c>
      <c r="G126" s="33" t="str">
        <f aca="false">IF(OR(D126="",F126=""),"",D126/5*F126)</f>
        <v/>
      </c>
    </row>
    <row r="127" customFormat="false" ht="15" hidden="false" customHeight="true" outlineLevel="0" collapsed="false">
      <c r="A127" s="30"/>
      <c r="C127" s="30"/>
      <c r="F127" s="9" t="str">
        <f aca="false">IF(C127="","",IFERROR(INDEX('Sub-principles'!$E$2:$E$11,MATCH(C127,'Sub-principles'!$A$2:$A$11,0)),""))</f>
        <v/>
      </c>
      <c r="G127" s="33" t="str">
        <f aca="false">IF(OR(D127="",F127=""),"",D127/5*F127)</f>
        <v/>
      </c>
    </row>
    <row r="128" customFormat="false" ht="15" hidden="false" customHeight="true" outlineLevel="0" collapsed="false">
      <c r="A128" s="30"/>
      <c r="C128" s="30"/>
      <c r="F128" s="9" t="str">
        <f aca="false">IF(C128="","",IFERROR(INDEX('Sub-principles'!$E$2:$E$11,MATCH(C128,'Sub-principles'!$A$2:$A$11,0)),""))</f>
        <v/>
      </c>
      <c r="G128" s="33" t="str">
        <f aca="false">IF(OR(D128="",F128=""),"",D128/5*F128)</f>
        <v/>
      </c>
    </row>
    <row r="129" customFormat="false" ht="15" hidden="false" customHeight="true" outlineLevel="0" collapsed="false">
      <c r="A129" s="30"/>
      <c r="C129" s="30"/>
      <c r="F129" s="9" t="str">
        <f aca="false">IF(C129="","",IFERROR(INDEX('Sub-principles'!$E$2:$E$11,MATCH(C129,'Sub-principles'!$A$2:$A$11,0)),""))</f>
        <v/>
      </c>
      <c r="G129" s="33" t="str">
        <f aca="false">IF(OR(D129="",F129=""),"",D129/5*F129)</f>
        <v/>
      </c>
    </row>
    <row r="130" customFormat="false" ht="15" hidden="false" customHeight="true" outlineLevel="0" collapsed="false">
      <c r="A130" s="30"/>
      <c r="C130" s="30"/>
      <c r="F130" s="9" t="str">
        <f aca="false">IF(C130="","",IFERROR(INDEX('Sub-principles'!$E$2:$E$11,MATCH(C130,'Sub-principles'!$A$2:$A$11,0)),""))</f>
        <v/>
      </c>
      <c r="G130" s="33" t="str">
        <f aca="false">IF(OR(D130="",F130=""),"",D130/5*F130)</f>
        <v/>
      </c>
    </row>
    <row r="131" customFormat="false" ht="15" hidden="false" customHeight="true" outlineLevel="0" collapsed="false">
      <c r="A131" s="30"/>
      <c r="C131" s="30"/>
      <c r="F131" s="9" t="str">
        <f aca="false">IF(C131="","",IFERROR(INDEX('Sub-principles'!$E$2:$E$11,MATCH(C131,'Sub-principles'!$A$2:$A$11,0)),""))</f>
        <v/>
      </c>
      <c r="G131" s="33" t="str">
        <f aca="false">IF(OR(D131="",F131=""),"",D131/5*F131)</f>
        <v/>
      </c>
    </row>
    <row r="132" customFormat="false" ht="15" hidden="false" customHeight="true" outlineLevel="0" collapsed="false">
      <c r="A132" s="30"/>
      <c r="C132" s="30"/>
      <c r="F132" s="9" t="str">
        <f aca="false">IF(C132="","",IFERROR(INDEX('Sub-principles'!$E$2:$E$11,MATCH(C132,'Sub-principles'!$A$2:$A$11,0)),""))</f>
        <v/>
      </c>
      <c r="G132" s="33" t="str">
        <f aca="false">IF(OR(D132="",F132=""),"",D132/5*F132)</f>
        <v/>
      </c>
    </row>
    <row r="133" customFormat="false" ht="15" hidden="false" customHeight="true" outlineLevel="0" collapsed="false">
      <c r="A133" s="30"/>
      <c r="C133" s="30"/>
      <c r="F133" s="9" t="str">
        <f aca="false">IF(C133="","",IFERROR(INDEX('Sub-principles'!$E$2:$E$11,MATCH(C133,'Sub-principles'!$A$2:$A$11,0)),""))</f>
        <v/>
      </c>
      <c r="G133" s="33" t="str">
        <f aca="false">IF(OR(D133="",F133=""),"",D133/5*F133)</f>
        <v/>
      </c>
    </row>
    <row r="134" customFormat="false" ht="15" hidden="false" customHeight="true" outlineLevel="0" collapsed="false">
      <c r="A134" s="30"/>
      <c r="C134" s="30"/>
      <c r="F134" s="9" t="str">
        <f aca="false">IF(C134="","",IFERROR(INDEX('Sub-principles'!$E$2:$E$11,MATCH(C134,'Sub-principles'!$A$2:$A$11,0)),""))</f>
        <v/>
      </c>
      <c r="G134" s="33" t="str">
        <f aca="false">IF(OR(D134="",F134=""),"",D134/5*F134)</f>
        <v/>
      </c>
    </row>
    <row r="135" customFormat="false" ht="15" hidden="false" customHeight="true" outlineLevel="0" collapsed="false">
      <c r="A135" s="30"/>
      <c r="C135" s="30"/>
      <c r="F135" s="9" t="str">
        <f aca="false">IF(C135="","",IFERROR(INDEX('Sub-principles'!$E$2:$E$11,MATCH(C135,'Sub-principles'!$A$2:$A$11,0)),""))</f>
        <v/>
      </c>
      <c r="G135" s="33" t="str">
        <f aca="false">IF(OR(D135="",F135=""),"",D135/5*F135)</f>
        <v/>
      </c>
    </row>
    <row r="136" customFormat="false" ht="15" hidden="false" customHeight="true" outlineLevel="0" collapsed="false">
      <c r="A136" s="30"/>
      <c r="C136" s="30"/>
      <c r="F136" s="9" t="str">
        <f aca="false">IF(C136="","",IFERROR(INDEX('Sub-principles'!$E$2:$E$11,MATCH(C136,'Sub-principles'!$A$2:$A$11,0)),""))</f>
        <v/>
      </c>
      <c r="G136" s="33" t="str">
        <f aca="false">IF(OR(D136="",F136=""),"",D136/5*F136)</f>
        <v/>
      </c>
    </row>
    <row r="137" customFormat="false" ht="15" hidden="false" customHeight="true" outlineLevel="0" collapsed="false">
      <c r="A137" s="30"/>
      <c r="C137" s="30"/>
      <c r="F137" s="9" t="str">
        <f aca="false">IF(C137="","",IFERROR(INDEX('Sub-principles'!$E$2:$E$11,MATCH(C137,'Sub-principles'!$A$2:$A$11,0)),""))</f>
        <v/>
      </c>
      <c r="G137" s="33" t="str">
        <f aca="false">IF(OR(D137="",F137=""),"",D137/5*F137)</f>
        <v/>
      </c>
    </row>
    <row r="138" customFormat="false" ht="15" hidden="false" customHeight="true" outlineLevel="0" collapsed="false">
      <c r="A138" s="30"/>
      <c r="C138" s="30"/>
      <c r="F138" s="9" t="str">
        <f aca="false">IF(C138="","",IFERROR(INDEX('Sub-principles'!$E$2:$E$11,MATCH(C138,'Sub-principles'!$A$2:$A$11,0)),""))</f>
        <v/>
      </c>
      <c r="G138" s="33" t="str">
        <f aca="false">IF(OR(D138="",F138=""),"",D138/5*F138)</f>
        <v/>
      </c>
    </row>
    <row r="139" customFormat="false" ht="15" hidden="false" customHeight="true" outlineLevel="0" collapsed="false">
      <c r="A139" s="30"/>
      <c r="C139" s="30"/>
      <c r="F139" s="9" t="str">
        <f aca="false">IF(C139="","",IFERROR(INDEX('Sub-principles'!$E$2:$E$11,MATCH(C139,'Sub-principles'!$A$2:$A$11,0)),""))</f>
        <v/>
      </c>
      <c r="G139" s="33" t="str">
        <f aca="false">IF(OR(D139="",F139=""),"",D139/5*F139)</f>
        <v/>
      </c>
    </row>
    <row r="140" customFormat="false" ht="15" hidden="false" customHeight="true" outlineLevel="0" collapsed="false">
      <c r="A140" s="30"/>
      <c r="C140" s="30"/>
      <c r="F140" s="9" t="str">
        <f aca="false">IF(C140="","",IFERROR(INDEX('Sub-principles'!$E$2:$E$11,MATCH(C140,'Sub-principles'!$A$2:$A$11,0)),""))</f>
        <v/>
      </c>
      <c r="G140" s="33" t="str">
        <f aca="false">IF(OR(D140="",F140=""),"",D140/5*F140)</f>
        <v/>
      </c>
    </row>
    <row r="141" customFormat="false" ht="15" hidden="false" customHeight="true" outlineLevel="0" collapsed="false">
      <c r="A141" s="30"/>
      <c r="C141" s="30"/>
      <c r="F141" s="9" t="str">
        <f aca="false">IF(C141="","",IFERROR(INDEX('Sub-principles'!$E$2:$E$11,MATCH(C141,'Sub-principles'!$A$2:$A$11,0)),""))</f>
        <v/>
      </c>
      <c r="G141" s="33" t="str">
        <f aca="false">IF(OR(D141="",F141=""),"",D141/5*F141)</f>
        <v/>
      </c>
    </row>
    <row r="142" customFormat="false" ht="15" hidden="false" customHeight="true" outlineLevel="0" collapsed="false">
      <c r="A142" s="30"/>
      <c r="C142" s="30"/>
      <c r="F142" s="9" t="str">
        <f aca="false">IF(C142="","",IFERROR(INDEX('Sub-principles'!$E$2:$E$11,MATCH(C142,'Sub-principles'!$A$2:$A$11,0)),""))</f>
        <v/>
      </c>
      <c r="G142" s="33" t="str">
        <f aca="false">IF(OR(D142="",F142=""),"",D142/5*F142)</f>
        <v/>
      </c>
    </row>
    <row r="143" customFormat="false" ht="15" hidden="false" customHeight="true" outlineLevel="0" collapsed="false">
      <c r="A143" s="30"/>
      <c r="C143" s="30"/>
      <c r="F143" s="9" t="str">
        <f aca="false">IF(C143="","",IFERROR(INDEX('Sub-principles'!$E$2:$E$11,MATCH(C143,'Sub-principles'!$A$2:$A$11,0)),""))</f>
        <v/>
      </c>
      <c r="G143" s="33" t="str">
        <f aca="false">IF(OR(D143="",F143=""),"",D143/5*F143)</f>
        <v/>
      </c>
    </row>
    <row r="144" customFormat="false" ht="15" hidden="false" customHeight="true" outlineLevel="0" collapsed="false">
      <c r="A144" s="30"/>
      <c r="C144" s="30"/>
      <c r="F144" s="9" t="str">
        <f aca="false">IF(C144="","",IFERROR(INDEX('Sub-principles'!$E$2:$E$11,MATCH(C144,'Sub-principles'!$A$2:$A$11,0)),""))</f>
        <v/>
      </c>
      <c r="G144" s="33" t="str">
        <f aca="false">IF(OR(D144="",F144=""),"",D144/5*F144)</f>
        <v/>
      </c>
    </row>
    <row r="145" customFormat="false" ht="15" hidden="false" customHeight="true" outlineLevel="0" collapsed="false">
      <c r="A145" s="30"/>
      <c r="C145" s="30"/>
      <c r="F145" s="9" t="str">
        <f aca="false">IF(C145="","",IFERROR(INDEX('Sub-principles'!$E$2:$E$11,MATCH(C145,'Sub-principles'!$A$2:$A$11,0)),""))</f>
        <v/>
      </c>
      <c r="G145" s="33" t="str">
        <f aca="false">IF(OR(D145="",F145=""),"",D145/5*F145)</f>
        <v/>
      </c>
    </row>
    <row r="146" customFormat="false" ht="15" hidden="false" customHeight="true" outlineLevel="0" collapsed="false">
      <c r="A146" s="30"/>
      <c r="C146" s="30"/>
      <c r="F146" s="9" t="str">
        <f aca="false">IF(C146="","",IFERROR(INDEX('Sub-principles'!$E$2:$E$11,MATCH(C146,'Sub-principles'!$A$2:$A$11,0)),""))</f>
        <v/>
      </c>
      <c r="G146" s="33" t="str">
        <f aca="false">IF(OR(D146="",F146=""),"",D146/5*F146)</f>
        <v/>
      </c>
    </row>
    <row r="147" customFormat="false" ht="15" hidden="false" customHeight="true" outlineLevel="0" collapsed="false">
      <c r="A147" s="30"/>
      <c r="C147" s="30"/>
      <c r="F147" s="9" t="str">
        <f aca="false">IF(C147="","",IFERROR(INDEX('Sub-principles'!$E$2:$E$11,MATCH(C147,'Sub-principles'!$A$2:$A$11,0)),""))</f>
        <v/>
      </c>
      <c r="G147" s="33" t="str">
        <f aca="false">IF(OR(D147="",F147=""),"",D147/5*F147)</f>
        <v/>
      </c>
    </row>
    <row r="148" customFormat="false" ht="15" hidden="false" customHeight="true" outlineLevel="0" collapsed="false">
      <c r="A148" s="30"/>
      <c r="C148" s="30"/>
      <c r="F148" s="9" t="str">
        <f aca="false">IF(C148="","",IFERROR(INDEX('Sub-principles'!$E$2:$E$11,MATCH(C148,'Sub-principles'!$A$2:$A$11,0)),""))</f>
        <v/>
      </c>
      <c r="G148" s="33" t="str">
        <f aca="false">IF(OR(D148="",F148=""),"",D148/5*F148)</f>
        <v/>
      </c>
    </row>
    <row r="149" customFormat="false" ht="15" hidden="false" customHeight="true" outlineLevel="0" collapsed="false">
      <c r="A149" s="30"/>
      <c r="C149" s="30"/>
      <c r="F149" s="9" t="str">
        <f aca="false">IF(C149="","",IFERROR(INDEX('Sub-principles'!$E$2:$E$11,MATCH(C149,'Sub-principles'!$A$2:$A$11,0)),""))</f>
        <v/>
      </c>
      <c r="G149" s="33" t="str">
        <f aca="false">IF(OR(D149="",F149=""),"",D149/5*F149)</f>
        <v/>
      </c>
    </row>
    <row r="150" customFormat="false" ht="15" hidden="false" customHeight="true" outlineLevel="0" collapsed="false">
      <c r="A150" s="30"/>
      <c r="C150" s="30"/>
      <c r="F150" s="9" t="str">
        <f aca="false">IF(C150="","",IFERROR(INDEX('Sub-principles'!$E$2:$E$11,MATCH(C150,'Sub-principles'!$A$2:$A$11,0)),""))</f>
        <v/>
      </c>
      <c r="G150" s="33" t="str">
        <f aca="false">IF(OR(D150="",F150=""),"",D150/5*F150)</f>
        <v/>
      </c>
    </row>
    <row r="151" customFormat="false" ht="15" hidden="false" customHeight="true" outlineLevel="0" collapsed="false">
      <c r="A151" s="30"/>
      <c r="C151" s="30"/>
      <c r="F151" s="9" t="str">
        <f aca="false">IF(C151="","",IFERROR(INDEX('Sub-principles'!$E$2:$E$11,MATCH(C151,'Sub-principles'!$A$2:$A$11,0)),""))</f>
        <v/>
      </c>
      <c r="G151" s="33" t="str">
        <f aca="false">IF(OR(D151="",F151=""),"",D151/5*F151)</f>
        <v/>
      </c>
    </row>
    <row r="152" customFormat="false" ht="15" hidden="false" customHeight="true" outlineLevel="0" collapsed="false">
      <c r="A152" s="30"/>
      <c r="C152" s="30"/>
      <c r="F152" s="9" t="str">
        <f aca="false">IF(C152="","",IFERROR(INDEX('Sub-principles'!$E$2:$E$11,MATCH(C152,'Sub-principles'!$A$2:$A$11,0)),""))</f>
        <v/>
      </c>
      <c r="G152" s="33" t="str">
        <f aca="false">IF(OR(D152="",F152=""),"",D152/5*F152)</f>
        <v/>
      </c>
    </row>
    <row r="153" customFormat="false" ht="15" hidden="false" customHeight="true" outlineLevel="0" collapsed="false">
      <c r="A153" s="30"/>
      <c r="C153" s="30"/>
      <c r="F153" s="9" t="str">
        <f aca="false">IF(C153="","",IFERROR(INDEX('Sub-principles'!$E$2:$E$11,MATCH(C153,'Sub-principles'!$A$2:$A$11,0)),""))</f>
        <v/>
      </c>
      <c r="G153" s="33" t="str">
        <f aca="false">IF(OR(D153="",F153=""),"",D153/5*F153)</f>
        <v/>
      </c>
    </row>
    <row r="154" customFormat="false" ht="15" hidden="false" customHeight="true" outlineLevel="0" collapsed="false">
      <c r="A154" s="30"/>
      <c r="C154" s="30"/>
      <c r="F154" s="9" t="str">
        <f aca="false">IF(C154="","",IFERROR(INDEX('Sub-principles'!$E$2:$E$11,MATCH(C154,'Sub-principles'!$A$2:$A$11,0)),""))</f>
        <v/>
      </c>
      <c r="G154" s="33" t="str">
        <f aca="false">IF(OR(D154="",F154=""),"",D154/5*F154)</f>
        <v/>
      </c>
    </row>
    <row r="155" customFormat="false" ht="15" hidden="false" customHeight="true" outlineLevel="0" collapsed="false">
      <c r="A155" s="30"/>
      <c r="C155" s="30"/>
      <c r="F155" s="9" t="str">
        <f aca="false">IF(C155="","",IFERROR(INDEX('Sub-principles'!$E$2:$E$11,MATCH(C155,'Sub-principles'!$A$2:$A$11,0)),""))</f>
        <v/>
      </c>
      <c r="G155" s="33" t="str">
        <f aca="false">IF(OR(D155="",F155=""),"",D155/5*F155)</f>
        <v/>
      </c>
    </row>
    <row r="156" customFormat="false" ht="15" hidden="false" customHeight="true" outlineLevel="0" collapsed="false">
      <c r="A156" s="30"/>
      <c r="C156" s="30"/>
      <c r="F156" s="9" t="str">
        <f aca="false">IF(C156="","",IFERROR(INDEX('Sub-principles'!$E$2:$E$11,MATCH(C156,'Sub-principles'!$A$2:$A$11,0)),""))</f>
        <v/>
      </c>
      <c r="G156" s="33" t="str">
        <f aca="false">IF(OR(D156="",F156=""),"",D156/5*F156)</f>
        <v/>
      </c>
    </row>
    <row r="157" customFormat="false" ht="15" hidden="false" customHeight="true" outlineLevel="0" collapsed="false">
      <c r="A157" s="30"/>
      <c r="C157" s="30"/>
      <c r="F157" s="9" t="str">
        <f aca="false">IF(C157="","",IFERROR(INDEX('Sub-principles'!$E$2:$E$11,MATCH(C157,'Sub-principles'!$A$2:$A$11,0)),""))</f>
        <v/>
      </c>
      <c r="G157" s="33" t="str">
        <f aca="false">IF(OR(D157="",F157=""),"",D157/5*F157)</f>
        <v/>
      </c>
    </row>
    <row r="158" customFormat="false" ht="15" hidden="false" customHeight="true" outlineLevel="0" collapsed="false">
      <c r="A158" s="30"/>
      <c r="C158" s="30"/>
      <c r="F158" s="9" t="str">
        <f aca="false">IF(C158="","",IFERROR(INDEX('Sub-principles'!$E$2:$E$11,MATCH(C158,'Sub-principles'!$A$2:$A$11,0)),""))</f>
        <v/>
      </c>
      <c r="G158" s="33" t="str">
        <f aca="false">IF(OR(D158="",F158=""),"",D158/5*F158)</f>
        <v/>
      </c>
    </row>
    <row r="159" customFormat="false" ht="15" hidden="false" customHeight="true" outlineLevel="0" collapsed="false">
      <c r="A159" s="30"/>
      <c r="C159" s="30"/>
      <c r="F159" s="9" t="str">
        <f aca="false">IF(C159="","",IFERROR(INDEX('Sub-principles'!$E$2:$E$11,MATCH(C159,'Sub-principles'!$A$2:$A$11,0)),""))</f>
        <v/>
      </c>
      <c r="G159" s="33" t="str">
        <f aca="false">IF(OR(D159="",F159=""),"",D159/5*F159)</f>
        <v/>
      </c>
    </row>
    <row r="160" customFormat="false" ht="15" hidden="false" customHeight="true" outlineLevel="0" collapsed="false">
      <c r="A160" s="30"/>
      <c r="C160" s="30"/>
      <c r="F160" s="9" t="str">
        <f aca="false">IF(C160="","",IFERROR(INDEX('Sub-principles'!$E$2:$E$11,MATCH(C160,'Sub-principles'!$A$2:$A$11,0)),""))</f>
        <v/>
      </c>
      <c r="G160" s="33" t="str">
        <f aca="false">IF(OR(D160="",F160=""),"",D160/5*F160)</f>
        <v/>
      </c>
    </row>
    <row r="161" customFormat="false" ht="15" hidden="false" customHeight="true" outlineLevel="0" collapsed="false">
      <c r="A161" s="30"/>
      <c r="C161" s="30"/>
      <c r="F161" s="9" t="str">
        <f aca="false">IF(C161="","",IFERROR(INDEX('Sub-principles'!$E$2:$E$11,MATCH(C161,'Sub-principles'!$A$2:$A$11,0)),""))</f>
        <v/>
      </c>
      <c r="G161" s="33" t="str">
        <f aca="false">IF(OR(D161="",F161=""),"",D161/5*F161)</f>
        <v/>
      </c>
    </row>
    <row r="162" customFormat="false" ht="15" hidden="false" customHeight="true" outlineLevel="0" collapsed="false">
      <c r="A162" s="30"/>
      <c r="C162" s="30"/>
      <c r="F162" s="9" t="str">
        <f aca="false">IF(C162="","",IFERROR(INDEX('Sub-principles'!$E$2:$E$11,MATCH(C162,'Sub-principles'!$A$2:$A$11,0)),""))</f>
        <v/>
      </c>
      <c r="G162" s="33" t="str">
        <f aca="false">IF(OR(D162="",F162=""),"",D162/5*F162)</f>
        <v/>
      </c>
    </row>
    <row r="163" customFormat="false" ht="15" hidden="false" customHeight="true" outlineLevel="0" collapsed="false">
      <c r="A163" s="30"/>
      <c r="C163" s="30"/>
      <c r="F163" s="9" t="str">
        <f aca="false">IF(C163="","",IFERROR(INDEX('Sub-principles'!$E$2:$E$11,MATCH(C163,'Sub-principles'!$A$2:$A$11,0)),""))</f>
        <v/>
      </c>
      <c r="G163" s="33" t="str">
        <f aca="false">IF(OR(D163="",F163=""),"",D163/5*F163)</f>
        <v/>
      </c>
    </row>
    <row r="164" customFormat="false" ht="15" hidden="false" customHeight="true" outlineLevel="0" collapsed="false">
      <c r="A164" s="30"/>
      <c r="C164" s="30"/>
      <c r="F164" s="9" t="str">
        <f aca="false">IF(C164="","",IFERROR(INDEX('Sub-principles'!$E$2:$E$11,MATCH(C164,'Sub-principles'!$A$2:$A$11,0)),""))</f>
        <v/>
      </c>
      <c r="G164" s="33" t="str">
        <f aca="false">IF(OR(D164="",F164=""),"",D164/5*F164)</f>
        <v/>
      </c>
    </row>
    <row r="165" customFormat="false" ht="15" hidden="false" customHeight="true" outlineLevel="0" collapsed="false">
      <c r="A165" s="30"/>
      <c r="C165" s="30"/>
      <c r="F165" s="9" t="str">
        <f aca="false">IF(C165="","",IFERROR(INDEX('Sub-principles'!$E$2:$E$11,MATCH(C165,'Sub-principles'!$A$2:$A$11,0)),""))</f>
        <v/>
      </c>
      <c r="G165" s="33" t="str">
        <f aca="false">IF(OR(D165="",F165=""),"",D165/5*F165)</f>
        <v/>
      </c>
    </row>
    <row r="166" customFormat="false" ht="15" hidden="false" customHeight="true" outlineLevel="0" collapsed="false">
      <c r="A166" s="30"/>
      <c r="C166" s="30"/>
      <c r="F166" s="9" t="str">
        <f aca="false">IF(C166="","",IFERROR(INDEX('Sub-principles'!$E$2:$E$11,MATCH(C166,'Sub-principles'!$A$2:$A$11,0)),""))</f>
        <v/>
      </c>
      <c r="G166" s="33" t="str">
        <f aca="false">IF(OR(D166="",F166=""),"",D166/5*F166)</f>
        <v/>
      </c>
    </row>
    <row r="167" customFormat="false" ht="15" hidden="false" customHeight="true" outlineLevel="0" collapsed="false">
      <c r="A167" s="30"/>
      <c r="C167" s="30"/>
      <c r="F167" s="9" t="str">
        <f aca="false">IF(C167="","",IFERROR(INDEX('Sub-principles'!$E$2:$E$11,MATCH(C167,'Sub-principles'!$A$2:$A$11,0)),""))</f>
        <v/>
      </c>
      <c r="G167" s="33" t="str">
        <f aca="false">IF(OR(D167="",F167=""),"",D167/5*F167)</f>
        <v/>
      </c>
    </row>
    <row r="168" customFormat="false" ht="15" hidden="false" customHeight="true" outlineLevel="0" collapsed="false">
      <c r="A168" s="30"/>
      <c r="C168" s="30"/>
      <c r="F168" s="9" t="str">
        <f aca="false">IF(C168="","",IFERROR(INDEX('Sub-principles'!$E$2:$E$11,MATCH(C168,'Sub-principles'!$A$2:$A$11,0)),""))</f>
        <v/>
      </c>
      <c r="G168" s="33" t="str">
        <f aca="false">IF(OR(D168="",F168=""),"",D168/5*F168)</f>
        <v/>
      </c>
    </row>
    <row r="169" customFormat="false" ht="15" hidden="false" customHeight="true" outlineLevel="0" collapsed="false">
      <c r="A169" s="30"/>
      <c r="C169" s="30"/>
      <c r="F169" s="9" t="str">
        <f aca="false">IF(C169="","",IFERROR(INDEX('Sub-principles'!$E$2:$E$11,MATCH(C169,'Sub-principles'!$A$2:$A$11,0)),""))</f>
        <v/>
      </c>
      <c r="G169" s="33" t="str">
        <f aca="false">IF(OR(D169="",F169=""),"",D169/5*F169)</f>
        <v/>
      </c>
    </row>
    <row r="170" customFormat="false" ht="15" hidden="false" customHeight="true" outlineLevel="0" collapsed="false">
      <c r="A170" s="30"/>
      <c r="C170" s="30"/>
      <c r="F170" s="9" t="str">
        <f aca="false">IF(C170="","",IFERROR(INDEX('Sub-principles'!$E$2:$E$11,MATCH(C170,'Sub-principles'!$A$2:$A$11,0)),""))</f>
        <v/>
      </c>
      <c r="G170" s="33" t="str">
        <f aca="false">IF(OR(D170="",F170=""),"",D170/5*F170)</f>
        <v/>
      </c>
    </row>
    <row r="171" customFormat="false" ht="15" hidden="false" customHeight="true" outlineLevel="0" collapsed="false">
      <c r="A171" s="30"/>
      <c r="C171" s="30"/>
      <c r="F171" s="9" t="str">
        <f aca="false">IF(C171="","",IFERROR(INDEX('Sub-principles'!$E$2:$E$11,MATCH(C171,'Sub-principles'!$A$2:$A$11,0)),""))</f>
        <v/>
      </c>
      <c r="G171" s="33" t="str">
        <f aca="false">IF(OR(D171="",F171=""),"",D171/5*F171)</f>
        <v/>
      </c>
    </row>
    <row r="172" customFormat="false" ht="15" hidden="false" customHeight="true" outlineLevel="0" collapsed="false">
      <c r="A172" s="30"/>
      <c r="C172" s="30"/>
      <c r="F172" s="9" t="str">
        <f aca="false">IF(C172="","",IFERROR(INDEX('Sub-principles'!$E$2:$E$11,MATCH(C172,'Sub-principles'!$A$2:$A$11,0)),""))</f>
        <v/>
      </c>
      <c r="G172" s="33" t="str">
        <f aca="false">IF(OR(D172="",F172=""),"",D172/5*F172)</f>
        <v/>
      </c>
    </row>
    <row r="173" customFormat="false" ht="15" hidden="false" customHeight="true" outlineLevel="0" collapsed="false">
      <c r="A173" s="30"/>
      <c r="C173" s="30"/>
      <c r="F173" s="9" t="str">
        <f aca="false">IF(C173="","",IFERROR(INDEX('Sub-principles'!$E$2:$E$11,MATCH(C173,'Sub-principles'!$A$2:$A$11,0)),""))</f>
        <v/>
      </c>
      <c r="G173" s="33" t="str">
        <f aca="false">IF(OR(D173="",F173=""),"",D173/5*F173)</f>
        <v/>
      </c>
    </row>
    <row r="174" customFormat="false" ht="15" hidden="false" customHeight="true" outlineLevel="0" collapsed="false">
      <c r="A174" s="30"/>
      <c r="C174" s="30"/>
      <c r="F174" s="9" t="str">
        <f aca="false">IF(C174="","",IFERROR(INDEX('Sub-principles'!$E$2:$E$11,MATCH(C174,'Sub-principles'!$A$2:$A$11,0)),""))</f>
        <v/>
      </c>
      <c r="G174" s="33" t="str">
        <f aca="false">IF(OR(D174="",F174=""),"",D174/5*F174)</f>
        <v/>
      </c>
    </row>
    <row r="175" customFormat="false" ht="15" hidden="false" customHeight="true" outlineLevel="0" collapsed="false">
      <c r="A175" s="30"/>
      <c r="C175" s="30"/>
      <c r="F175" s="9" t="str">
        <f aca="false">IF(C175="","",IFERROR(INDEX('Sub-principles'!$E$2:$E$11,MATCH(C175,'Sub-principles'!$A$2:$A$11,0)),""))</f>
        <v/>
      </c>
      <c r="G175" s="33" t="str">
        <f aca="false">IF(OR(D175="",F175=""),"",D175/5*F175)</f>
        <v/>
      </c>
    </row>
    <row r="176" customFormat="false" ht="15" hidden="false" customHeight="true" outlineLevel="0" collapsed="false">
      <c r="A176" s="30"/>
      <c r="C176" s="30"/>
      <c r="F176" s="9" t="str">
        <f aca="false">IF(C176="","",IFERROR(INDEX('Sub-principles'!$E$2:$E$11,MATCH(C176,'Sub-principles'!$A$2:$A$11,0)),""))</f>
        <v/>
      </c>
      <c r="G176" s="33" t="str">
        <f aca="false">IF(OR(D176="",F176=""),"",D176/5*F176)</f>
        <v/>
      </c>
    </row>
    <row r="177" customFormat="false" ht="15" hidden="false" customHeight="true" outlineLevel="0" collapsed="false">
      <c r="A177" s="30"/>
      <c r="C177" s="30"/>
      <c r="F177" s="9" t="str">
        <f aca="false">IF(C177="","",IFERROR(INDEX('Sub-principles'!$E$2:$E$11,MATCH(C177,'Sub-principles'!$A$2:$A$11,0)),""))</f>
        <v/>
      </c>
      <c r="G177" s="33" t="str">
        <f aca="false">IF(OR(D177="",F177=""),"",D177/5*F177)</f>
        <v/>
      </c>
    </row>
    <row r="178" customFormat="false" ht="15" hidden="false" customHeight="true" outlineLevel="0" collapsed="false">
      <c r="A178" s="30"/>
      <c r="C178" s="30"/>
      <c r="F178" s="9" t="str">
        <f aca="false">IF(C178="","",IFERROR(INDEX('Sub-principles'!$E$2:$E$11,MATCH(C178,'Sub-principles'!$A$2:$A$11,0)),""))</f>
        <v/>
      </c>
      <c r="G178" s="33" t="str">
        <f aca="false">IF(OR(D178="",F178=""),"",D178/5*F178)</f>
        <v/>
      </c>
    </row>
    <row r="179" customFormat="false" ht="15" hidden="false" customHeight="true" outlineLevel="0" collapsed="false">
      <c r="A179" s="30"/>
      <c r="C179" s="30"/>
      <c r="F179" s="9" t="str">
        <f aca="false">IF(C179="","",IFERROR(INDEX('Sub-principles'!$E$2:$E$11,MATCH(C179,'Sub-principles'!$A$2:$A$11,0)),""))</f>
        <v/>
      </c>
      <c r="G179" s="33" t="str">
        <f aca="false">IF(OR(D179="",F179=""),"",D179/5*F179)</f>
        <v/>
      </c>
    </row>
    <row r="180" customFormat="false" ht="15" hidden="false" customHeight="true" outlineLevel="0" collapsed="false">
      <c r="A180" s="30"/>
      <c r="C180" s="30"/>
      <c r="F180" s="9" t="str">
        <f aca="false">IF(C180="","",IFERROR(INDEX('Sub-principles'!$E$2:$E$11,MATCH(C180,'Sub-principles'!$A$2:$A$11,0)),""))</f>
        <v/>
      </c>
      <c r="G180" s="33" t="str">
        <f aca="false">IF(OR(D180="",F180=""),"",D180/5*F180)</f>
        <v/>
      </c>
    </row>
    <row r="181" customFormat="false" ht="15" hidden="false" customHeight="true" outlineLevel="0" collapsed="false">
      <c r="A181" s="30"/>
      <c r="C181" s="30"/>
      <c r="F181" s="9" t="str">
        <f aca="false">IF(C181="","",IFERROR(INDEX('Sub-principles'!$E$2:$E$11,MATCH(C181,'Sub-principles'!$A$2:$A$11,0)),""))</f>
        <v/>
      </c>
      <c r="G181" s="33" t="str">
        <f aca="false">IF(OR(D181="",F181=""),"",D181/5*F181)</f>
        <v/>
      </c>
    </row>
    <row r="182" customFormat="false" ht="15" hidden="false" customHeight="true" outlineLevel="0" collapsed="false">
      <c r="A182" s="30"/>
      <c r="C182" s="30"/>
      <c r="F182" s="9" t="str">
        <f aca="false">IF(C182="","",IFERROR(INDEX('Sub-principles'!$E$2:$E$11,MATCH(C182,'Sub-principles'!$A$2:$A$11,0)),""))</f>
        <v/>
      </c>
      <c r="G182" s="33" t="str">
        <f aca="false">IF(OR(D182="",F182=""),"",D182/5*F182)</f>
        <v/>
      </c>
    </row>
    <row r="183" customFormat="false" ht="15" hidden="false" customHeight="true" outlineLevel="0" collapsed="false">
      <c r="A183" s="30"/>
      <c r="C183" s="30"/>
      <c r="F183" s="9" t="str">
        <f aca="false">IF(C183="","",IFERROR(INDEX('Sub-principles'!$E$2:$E$11,MATCH(C183,'Sub-principles'!$A$2:$A$11,0)),""))</f>
        <v/>
      </c>
      <c r="G183" s="33" t="str">
        <f aca="false">IF(OR(D183="",F183=""),"",D183/5*F183)</f>
        <v/>
      </c>
    </row>
    <row r="184" customFormat="false" ht="15" hidden="false" customHeight="true" outlineLevel="0" collapsed="false">
      <c r="A184" s="30"/>
      <c r="C184" s="30"/>
      <c r="F184" s="9" t="str">
        <f aca="false">IF(C184="","",IFERROR(INDEX('Sub-principles'!$E$2:$E$11,MATCH(C184,'Sub-principles'!$A$2:$A$11,0)),""))</f>
        <v/>
      </c>
      <c r="G184" s="33" t="str">
        <f aca="false">IF(OR(D184="",F184=""),"",D184/5*F184)</f>
        <v/>
      </c>
    </row>
    <row r="185" customFormat="false" ht="15" hidden="false" customHeight="true" outlineLevel="0" collapsed="false">
      <c r="A185" s="30"/>
      <c r="C185" s="30"/>
      <c r="F185" s="9" t="str">
        <f aca="false">IF(C185="","",IFERROR(INDEX('Sub-principles'!$E$2:$E$11,MATCH(C185,'Sub-principles'!$A$2:$A$11,0)),""))</f>
        <v/>
      </c>
      <c r="G185" s="33" t="str">
        <f aca="false">IF(OR(D185="",F185=""),"",D185/5*F185)</f>
        <v/>
      </c>
    </row>
    <row r="186" customFormat="false" ht="15" hidden="false" customHeight="true" outlineLevel="0" collapsed="false">
      <c r="A186" s="30"/>
      <c r="C186" s="30"/>
      <c r="F186" s="9" t="str">
        <f aca="false">IF(C186="","",IFERROR(INDEX('Sub-principles'!$E$2:$E$11,MATCH(C186,'Sub-principles'!$A$2:$A$11,0)),""))</f>
        <v/>
      </c>
      <c r="G186" s="33" t="str">
        <f aca="false">IF(OR(D186="",F186=""),"",D186/5*F186)</f>
        <v/>
      </c>
    </row>
    <row r="187" customFormat="false" ht="15" hidden="false" customHeight="true" outlineLevel="0" collapsed="false">
      <c r="A187" s="30"/>
      <c r="C187" s="30"/>
      <c r="F187" s="9" t="str">
        <f aca="false">IF(C187="","",IFERROR(INDEX('Sub-principles'!$E$2:$E$11,MATCH(C187,'Sub-principles'!$A$2:$A$11,0)),""))</f>
        <v/>
      </c>
      <c r="G187" s="33" t="str">
        <f aca="false">IF(OR(D187="",F187=""),"",D187/5*F187)</f>
        <v/>
      </c>
    </row>
    <row r="188" customFormat="false" ht="15" hidden="false" customHeight="true" outlineLevel="0" collapsed="false">
      <c r="A188" s="30"/>
      <c r="C188" s="30"/>
      <c r="F188" s="9" t="str">
        <f aca="false">IF(C188="","",IFERROR(INDEX('Sub-principles'!$E$2:$E$11,MATCH(C188,'Sub-principles'!$A$2:$A$11,0)),""))</f>
        <v/>
      </c>
      <c r="G188" s="33" t="str">
        <f aca="false">IF(OR(D188="",F188=""),"",D188/5*F188)</f>
        <v/>
      </c>
    </row>
    <row r="189" customFormat="false" ht="15" hidden="false" customHeight="true" outlineLevel="0" collapsed="false">
      <c r="A189" s="30"/>
      <c r="C189" s="30"/>
      <c r="F189" s="9" t="str">
        <f aca="false">IF(C189="","",IFERROR(INDEX('Sub-principles'!$E$2:$E$11,MATCH(C189,'Sub-principles'!$A$2:$A$11,0)),""))</f>
        <v/>
      </c>
      <c r="G189" s="33" t="str">
        <f aca="false">IF(OR(D189="",F189=""),"",D189/5*F189)</f>
        <v/>
      </c>
    </row>
    <row r="190" customFormat="false" ht="15" hidden="false" customHeight="true" outlineLevel="0" collapsed="false">
      <c r="A190" s="30"/>
      <c r="C190" s="30"/>
      <c r="F190" s="9" t="str">
        <f aca="false">IF(C190="","",IFERROR(INDEX('Sub-principles'!$E$2:$E$11,MATCH(C190,'Sub-principles'!$A$2:$A$11,0)),""))</f>
        <v/>
      </c>
      <c r="G190" s="33" t="str">
        <f aca="false">IF(OR(D190="",F190=""),"",D190/5*F190)</f>
        <v/>
      </c>
    </row>
    <row r="191" customFormat="false" ht="15" hidden="false" customHeight="true" outlineLevel="0" collapsed="false">
      <c r="A191" s="30"/>
      <c r="C191" s="30"/>
      <c r="F191" s="9" t="str">
        <f aca="false">IF(C191="","",IFERROR(INDEX('Sub-principles'!$E$2:$E$11,MATCH(C191,'Sub-principles'!$A$2:$A$11,0)),""))</f>
        <v/>
      </c>
      <c r="G191" s="33" t="str">
        <f aca="false">IF(OR(D191="",F191=""),"",D191/5*F191)</f>
        <v/>
      </c>
    </row>
    <row r="192" customFormat="false" ht="15" hidden="false" customHeight="true" outlineLevel="0" collapsed="false">
      <c r="A192" s="30"/>
      <c r="C192" s="30"/>
      <c r="F192" s="9" t="str">
        <f aca="false">IF(C192="","",IFERROR(INDEX('Sub-principles'!$E$2:$E$11,MATCH(C192,'Sub-principles'!$A$2:$A$11,0)),""))</f>
        <v/>
      </c>
      <c r="G192" s="33" t="str">
        <f aca="false">IF(OR(D192="",F192=""),"",D192/5*F192)</f>
        <v/>
      </c>
    </row>
    <row r="193" customFormat="false" ht="15" hidden="false" customHeight="true" outlineLevel="0" collapsed="false">
      <c r="A193" s="30"/>
      <c r="C193" s="30"/>
      <c r="F193" s="9" t="str">
        <f aca="false">IF(C193="","",IFERROR(INDEX('Sub-principles'!$E$2:$E$11,MATCH(C193,'Sub-principles'!$A$2:$A$11,0)),""))</f>
        <v/>
      </c>
      <c r="G193" s="33" t="str">
        <f aca="false">IF(OR(D193="",F193=""),"",D193/5*F193)</f>
        <v/>
      </c>
    </row>
    <row r="194" customFormat="false" ht="15" hidden="false" customHeight="true" outlineLevel="0" collapsed="false">
      <c r="A194" s="30"/>
      <c r="C194" s="30"/>
      <c r="F194" s="9" t="str">
        <f aca="false">IF(C194="","",IFERROR(INDEX('Sub-principles'!$E$2:$E$11,MATCH(C194,'Sub-principles'!$A$2:$A$11,0)),""))</f>
        <v/>
      </c>
      <c r="G194" s="33" t="str">
        <f aca="false">IF(OR(D194="",F194=""),"",D194/5*F194)</f>
        <v/>
      </c>
    </row>
    <row r="195" customFormat="false" ht="15" hidden="false" customHeight="true" outlineLevel="0" collapsed="false">
      <c r="A195" s="30"/>
      <c r="C195" s="30"/>
      <c r="F195" s="9" t="str">
        <f aca="false">IF(C195="","",IFERROR(INDEX('Sub-principles'!$E$2:$E$11,MATCH(C195,'Sub-principles'!$A$2:$A$11,0)),""))</f>
        <v/>
      </c>
      <c r="G195" s="33" t="str">
        <f aca="false">IF(OR(D195="",F195=""),"",D195/5*F195)</f>
        <v/>
      </c>
    </row>
    <row r="196" customFormat="false" ht="15" hidden="false" customHeight="true" outlineLevel="0" collapsed="false">
      <c r="A196" s="30"/>
      <c r="C196" s="30"/>
      <c r="F196" s="9" t="str">
        <f aca="false">IF(C196="","",IFERROR(INDEX('Sub-principles'!$E$2:$E$11,MATCH(C196,'Sub-principles'!$A$2:$A$11,0)),""))</f>
        <v/>
      </c>
      <c r="G196" s="33" t="str">
        <f aca="false">IF(OR(D196="",F196=""),"",D196/5*F196)</f>
        <v/>
      </c>
    </row>
    <row r="197" customFormat="false" ht="15" hidden="false" customHeight="true" outlineLevel="0" collapsed="false">
      <c r="A197" s="30"/>
      <c r="C197" s="30"/>
      <c r="F197" s="9" t="str">
        <f aca="false">IF(C197="","",IFERROR(INDEX('Sub-principles'!$E$2:$E$11,MATCH(C197,'Sub-principles'!$A$2:$A$11,0)),""))</f>
        <v/>
      </c>
      <c r="G197" s="33" t="str">
        <f aca="false">IF(OR(D197="",F197=""),"",D197/5*F197)</f>
        <v/>
      </c>
    </row>
    <row r="198" customFormat="false" ht="15" hidden="false" customHeight="true" outlineLevel="0" collapsed="false">
      <c r="A198" s="30"/>
      <c r="C198" s="30"/>
      <c r="F198" s="9" t="str">
        <f aca="false">IF(C198="","",IFERROR(INDEX('Sub-principles'!$E$2:$E$11,MATCH(C198,'Sub-principles'!$A$2:$A$11,0)),""))</f>
        <v/>
      </c>
      <c r="G198" s="33" t="str">
        <f aca="false">IF(OR(D198="",F198=""),"",D198/5*F198)</f>
        <v/>
      </c>
    </row>
    <row r="199" customFormat="false" ht="15" hidden="false" customHeight="true" outlineLevel="0" collapsed="false">
      <c r="A199" s="30"/>
      <c r="C199" s="30"/>
      <c r="F199" s="9" t="str">
        <f aca="false">IF(C199="","",IFERROR(INDEX('Sub-principles'!$E$2:$E$11,MATCH(C199,'Sub-principles'!$A$2:$A$11,0)),""))</f>
        <v/>
      </c>
      <c r="G199" s="33" t="str">
        <f aca="false">IF(OR(D199="",F199=""),"",D199/5*F199)</f>
        <v/>
      </c>
    </row>
    <row r="200" customFormat="false" ht="15" hidden="false" customHeight="true" outlineLevel="0" collapsed="false">
      <c r="A200" s="30"/>
      <c r="C200" s="30"/>
      <c r="F200" s="9" t="str">
        <f aca="false">IF(C200="","",IFERROR(INDEX('Sub-principles'!$E$2:$E$11,MATCH(C200,'Sub-principles'!$A$2:$A$11,0)),""))</f>
        <v/>
      </c>
      <c r="G200" s="33" t="str">
        <f aca="false">IF(OR(D200="",F200=""),"",D200/5*F200)</f>
        <v/>
      </c>
    </row>
    <row r="201" customFormat="false" ht="15" hidden="false" customHeight="true" outlineLevel="0" collapsed="false">
      <c r="A201" s="30"/>
      <c r="C201" s="30"/>
      <c r="F201" s="9" t="str">
        <f aca="false">IF(C201="","",IFERROR(INDEX('Sub-principles'!$E$2:$E$11,MATCH(C201,'Sub-principles'!$A$2:$A$11,0)),""))</f>
        <v/>
      </c>
      <c r="G201" s="33" t="str">
        <f aca="false">IF(OR(D201="",F201=""),"",D201/5*F201)</f>
        <v/>
      </c>
    </row>
    <row r="202" customFormat="false" ht="15" hidden="false" customHeight="true" outlineLevel="0" collapsed="false">
      <c r="A202" s="30"/>
      <c r="C202" s="30"/>
      <c r="F202" s="9" t="str">
        <f aca="false">IF(C202="","",IFERROR(INDEX('Sub-principles'!$E$2:$E$11,MATCH(C202,'Sub-principles'!$A$2:$A$11,0)),""))</f>
        <v/>
      </c>
      <c r="G202" s="33" t="str">
        <f aca="false">IF(OR(D202="",F202=""),"",D202/5*F202)</f>
        <v/>
      </c>
    </row>
    <row r="203" customFormat="false" ht="15" hidden="false" customHeight="true" outlineLevel="0" collapsed="false">
      <c r="A203" s="30"/>
      <c r="C203" s="30"/>
      <c r="F203" s="9" t="str">
        <f aca="false">IF(C203="","",IFERROR(INDEX('Sub-principles'!$E$2:$E$11,MATCH(C203,'Sub-principles'!$A$2:$A$11,0)),""))</f>
        <v/>
      </c>
      <c r="G203" s="33" t="str">
        <f aca="false">IF(OR(D203="",F203=""),"",D203/5*F203)</f>
        <v/>
      </c>
    </row>
    <row r="204" customFormat="false" ht="15" hidden="false" customHeight="true" outlineLevel="0" collapsed="false">
      <c r="A204" s="30"/>
      <c r="C204" s="30"/>
      <c r="F204" s="9" t="str">
        <f aca="false">IF(C204="","",IFERROR(INDEX('Sub-principles'!$E$2:$E$11,MATCH(C204,'Sub-principles'!$A$2:$A$11,0)),""))</f>
        <v/>
      </c>
      <c r="G204" s="33" t="str">
        <f aca="false">IF(OR(D204="",F204=""),"",D204/5*F204)</f>
        <v/>
      </c>
    </row>
    <row r="205" customFormat="false" ht="15" hidden="false" customHeight="true" outlineLevel="0" collapsed="false">
      <c r="A205" s="30"/>
      <c r="C205" s="30"/>
      <c r="F205" s="9" t="str">
        <f aca="false">IF(C205="","",IFERROR(INDEX('Sub-principles'!$E$2:$E$11,MATCH(C205,'Sub-principles'!$A$2:$A$11,0)),""))</f>
        <v/>
      </c>
      <c r="G205" s="33" t="str">
        <f aca="false">IF(OR(D205="",F205=""),"",D205/5*F205)</f>
        <v/>
      </c>
    </row>
    <row r="206" customFormat="false" ht="15" hidden="false" customHeight="true" outlineLevel="0" collapsed="false">
      <c r="A206" s="30"/>
      <c r="C206" s="30"/>
      <c r="F206" s="9" t="str">
        <f aca="false">IF(C206="","",IFERROR(INDEX('Sub-principles'!$E$2:$E$11,MATCH(C206,'Sub-principles'!$A$2:$A$11,0)),""))</f>
        <v/>
      </c>
      <c r="G206" s="33" t="str">
        <f aca="false">IF(OR(D206="",F206=""),"",D206/5*F206)</f>
        <v/>
      </c>
    </row>
    <row r="207" customFormat="false" ht="15" hidden="false" customHeight="true" outlineLevel="0" collapsed="false">
      <c r="A207" s="30"/>
      <c r="C207" s="30"/>
      <c r="F207" s="9" t="str">
        <f aca="false">IF(C207="","",IFERROR(INDEX('Sub-principles'!$E$2:$E$11,MATCH(C207,'Sub-principles'!$A$2:$A$11,0)),""))</f>
        <v/>
      </c>
      <c r="G207" s="33" t="str">
        <f aca="false">IF(OR(D207="",F207=""),"",D207/5*F207)</f>
        <v/>
      </c>
    </row>
    <row r="208" customFormat="false" ht="15" hidden="false" customHeight="true" outlineLevel="0" collapsed="false">
      <c r="A208" s="30"/>
      <c r="C208" s="30"/>
      <c r="F208" s="9" t="str">
        <f aca="false">IF(C208="","",IFERROR(INDEX('Sub-principles'!$E$2:$E$11,MATCH(C208,'Sub-principles'!$A$2:$A$11,0)),""))</f>
        <v/>
      </c>
      <c r="G208" s="33" t="str">
        <f aca="false">IF(OR(D208="",F208=""),"",D208/5*F208)</f>
        <v/>
      </c>
    </row>
    <row r="209" customFormat="false" ht="15" hidden="false" customHeight="true" outlineLevel="0" collapsed="false">
      <c r="A209" s="30"/>
      <c r="C209" s="30"/>
      <c r="F209" s="9" t="str">
        <f aca="false">IF(C209="","",IFERROR(INDEX('Sub-principles'!$E$2:$E$11,MATCH(C209,'Sub-principles'!$A$2:$A$11,0)),""))</f>
        <v/>
      </c>
      <c r="G209" s="33" t="str">
        <f aca="false">IF(OR(D209="",F209=""),"",D209/5*F209)</f>
        <v/>
      </c>
    </row>
    <row r="210" customFormat="false" ht="15" hidden="false" customHeight="true" outlineLevel="0" collapsed="false">
      <c r="A210" s="30"/>
      <c r="C210" s="30"/>
      <c r="F210" s="9" t="str">
        <f aca="false">IF(C210="","",IFERROR(INDEX('Sub-principles'!$E$2:$E$11,MATCH(C210,'Sub-principles'!$A$2:$A$11,0)),""))</f>
        <v/>
      </c>
      <c r="G210" s="33" t="str">
        <f aca="false">IF(OR(D210="",F210=""),"",D210/5*F210)</f>
        <v/>
      </c>
    </row>
    <row r="211" customFormat="false" ht="15" hidden="false" customHeight="true" outlineLevel="0" collapsed="false">
      <c r="A211" s="30"/>
      <c r="C211" s="30"/>
      <c r="F211" s="9" t="str">
        <f aca="false">IF(C211="","",IFERROR(INDEX('Sub-principles'!$E$2:$E$11,MATCH(C211,'Sub-principles'!$A$2:$A$11,0)),""))</f>
        <v/>
      </c>
      <c r="G211" s="33" t="str">
        <f aca="false">IF(OR(D211="",F211=""),"",D211/5*F211)</f>
        <v/>
      </c>
    </row>
    <row r="212" customFormat="false" ht="15" hidden="false" customHeight="true" outlineLevel="0" collapsed="false">
      <c r="A212" s="30"/>
      <c r="C212" s="30"/>
      <c r="F212" s="9" t="str">
        <f aca="false">IF(C212="","",IFERROR(INDEX('Sub-principles'!$E$2:$E$11,MATCH(C212,'Sub-principles'!$A$2:$A$11,0)),""))</f>
        <v/>
      </c>
      <c r="G212" s="33" t="str">
        <f aca="false">IF(OR(D212="",F212=""),"",D212/5*F212)</f>
        <v/>
      </c>
    </row>
    <row r="213" customFormat="false" ht="15" hidden="false" customHeight="true" outlineLevel="0" collapsed="false">
      <c r="A213" s="30"/>
      <c r="C213" s="30"/>
      <c r="F213" s="9" t="str">
        <f aca="false">IF(C213="","",IFERROR(INDEX('Sub-principles'!$E$2:$E$11,MATCH(C213,'Sub-principles'!$A$2:$A$11,0)),""))</f>
        <v/>
      </c>
      <c r="G213" s="33" t="str">
        <f aca="false">IF(OR(D213="",F213=""),"",D213/5*F213)</f>
        <v/>
      </c>
    </row>
    <row r="214" customFormat="false" ht="15" hidden="false" customHeight="true" outlineLevel="0" collapsed="false">
      <c r="A214" s="30"/>
      <c r="C214" s="30"/>
      <c r="F214" s="9" t="str">
        <f aca="false">IF(C214="","",IFERROR(INDEX('Sub-principles'!$E$2:$E$11,MATCH(C214,'Sub-principles'!$A$2:$A$11,0)),""))</f>
        <v/>
      </c>
      <c r="G214" s="33" t="str">
        <f aca="false">IF(OR(D214="",F214=""),"",D214/5*F214)</f>
        <v/>
      </c>
    </row>
    <row r="215" customFormat="false" ht="15" hidden="false" customHeight="true" outlineLevel="0" collapsed="false">
      <c r="A215" s="30"/>
      <c r="C215" s="30"/>
      <c r="F215" s="9" t="str">
        <f aca="false">IF(C215="","",IFERROR(INDEX('Sub-principles'!$E$2:$E$11,MATCH(C215,'Sub-principles'!$A$2:$A$11,0)),""))</f>
        <v/>
      </c>
      <c r="G215" s="33" t="str">
        <f aca="false">IF(OR(D215="",F215=""),"",D215/5*F215)</f>
        <v/>
      </c>
    </row>
    <row r="216" customFormat="false" ht="15" hidden="false" customHeight="true" outlineLevel="0" collapsed="false">
      <c r="A216" s="30"/>
      <c r="C216" s="30"/>
      <c r="F216" s="9" t="str">
        <f aca="false">IF(C216="","",IFERROR(INDEX('Sub-principles'!$E$2:$E$11,MATCH(C216,'Sub-principles'!$A$2:$A$11,0)),""))</f>
        <v/>
      </c>
      <c r="G216" s="33" t="str">
        <f aca="false">IF(OR(D216="",F216=""),"",D216/5*F216)</f>
        <v/>
      </c>
    </row>
    <row r="217" customFormat="false" ht="15" hidden="false" customHeight="true" outlineLevel="0" collapsed="false">
      <c r="A217" s="30"/>
      <c r="C217" s="30"/>
      <c r="F217" s="9" t="str">
        <f aca="false">IF(C217="","",IFERROR(INDEX('Sub-principles'!$E$2:$E$11,MATCH(C217,'Sub-principles'!$A$2:$A$11,0)),""))</f>
        <v/>
      </c>
      <c r="G217" s="33" t="str">
        <f aca="false">IF(OR(D217="",F217=""),"",D217/5*F217)</f>
        <v/>
      </c>
    </row>
    <row r="218" customFormat="false" ht="15" hidden="false" customHeight="true" outlineLevel="0" collapsed="false">
      <c r="A218" s="30"/>
      <c r="C218" s="30"/>
      <c r="F218" s="9" t="str">
        <f aca="false">IF(C218="","",IFERROR(INDEX('Sub-principles'!$E$2:$E$11,MATCH(C218,'Sub-principles'!$A$2:$A$11,0)),""))</f>
        <v/>
      </c>
      <c r="G218" s="33" t="str">
        <f aca="false">IF(OR(D218="",F218=""),"",D218/5*F218)</f>
        <v/>
      </c>
    </row>
    <row r="219" customFormat="false" ht="15" hidden="false" customHeight="true" outlineLevel="0" collapsed="false">
      <c r="A219" s="30"/>
      <c r="C219" s="30"/>
      <c r="F219" s="9" t="str">
        <f aca="false">IF(C219="","",IFERROR(INDEX('Sub-principles'!$E$2:$E$11,MATCH(C219,'Sub-principles'!$A$2:$A$11,0)),""))</f>
        <v/>
      </c>
      <c r="G219" s="33" t="str">
        <f aca="false">IF(OR(D219="",F219=""),"",D219/5*F219)</f>
        <v/>
      </c>
    </row>
    <row r="220" customFormat="false" ht="15" hidden="false" customHeight="true" outlineLevel="0" collapsed="false">
      <c r="A220" s="30"/>
      <c r="C220" s="30"/>
      <c r="F220" s="9" t="str">
        <f aca="false">IF(C220="","",IFERROR(INDEX('Sub-principles'!$E$2:$E$11,MATCH(C220,'Sub-principles'!$A$2:$A$11,0)),""))</f>
        <v/>
      </c>
      <c r="G220" s="33" t="str">
        <f aca="false">IF(OR(D220="",F220=""),"",D220/5*F220)</f>
        <v/>
      </c>
    </row>
    <row r="221" customFormat="false" ht="15" hidden="false" customHeight="true" outlineLevel="0" collapsed="false">
      <c r="A221" s="30"/>
      <c r="C221" s="30"/>
      <c r="F221" s="9" t="str">
        <f aca="false">IF(C221="","",IFERROR(INDEX('Sub-principles'!$E$2:$E$11,MATCH(C221,'Sub-principles'!$A$2:$A$11,0)),""))</f>
        <v/>
      </c>
      <c r="G221" s="33" t="str">
        <f aca="false">IF(OR(D221="",F221=""),"",D221/5*F221)</f>
        <v/>
      </c>
    </row>
    <row r="222" customFormat="false" ht="15" hidden="false" customHeight="true" outlineLevel="0" collapsed="false">
      <c r="A222" s="30"/>
      <c r="C222" s="30"/>
      <c r="F222" s="9" t="str">
        <f aca="false">IF(C222="","",IFERROR(INDEX('Sub-principles'!$E$2:$E$11,MATCH(C222,'Sub-principles'!$A$2:$A$11,0)),""))</f>
        <v/>
      </c>
      <c r="G222" s="33" t="str">
        <f aca="false">IF(OR(D222="",F222=""),"",D222/5*F222)</f>
        <v/>
      </c>
    </row>
    <row r="223" customFormat="false" ht="15" hidden="false" customHeight="true" outlineLevel="0" collapsed="false">
      <c r="A223" s="30"/>
      <c r="C223" s="30"/>
      <c r="F223" s="9" t="str">
        <f aca="false">IF(C223="","",IFERROR(INDEX('Sub-principles'!$E$2:$E$11,MATCH(C223,'Sub-principles'!$A$2:$A$11,0)),""))</f>
        <v/>
      </c>
      <c r="G223" s="33" t="str">
        <f aca="false">IF(OR(D223="",F223=""),"",D223/5*F223)</f>
        <v/>
      </c>
    </row>
    <row r="224" customFormat="false" ht="15" hidden="false" customHeight="true" outlineLevel="0" collapsed="false">
      <c r="A224" s="30"/>
      <c r="C224" s="30"/>
      <c r="F224" s="9" t="str">
        <f aca="false">IF(C224="","",IFERROR(INDEX('Sub-principles'!$E$2:$E$11,MATCH(C224,'Sub-principles'!$A$2:$A$11,0)),""))</f>
        <v/>
      </c>
      <c r="G224" s="33" t="str">
        <f aca="false">IF(OR(D224="",F224=""),"",D224/5*F224)</f>
        <v/>
      </c>
    </row>
    <row r="225" customFormat="false" ht="15" hidden="false" customHeight="true" outlineLevel="0" collapsed="false">
      <c r="A225" s="30"/>
      <c r="C225" s="30"/>
      <c r="F225" s="9" t="str">
        <f aca="false">IF(C225="","",IFERROR(INDEX('Sub-principles'!$E$2:$E$11,MATCH(C225,'Sub-principles'!$A$2:$A$11,0)),""))</f>
        <v/>
      </c>
      <c r="G225" s="33" t="str">
        <f aca="false">IF(OR(D225="",F225=""),"",D225/5*F225)</f>
        <v/>
      </c>
    </row>
    <row r="226" customFormat="false" ht="15" hidden="false" customHeight="true" outlineLevel="0" collapsed="false">
      <c r="A226" s="30"/>
      <c r="C226" s="30"/>
      <c r="F226" s="9" t="str">
        <f aca="false">IF(C226="","",IFERROR(INDEX('Sub-principles'!$E$2:$E$11,MATCH(C226,'Sub-principles'!$A$2:$A$11,0)),""))</f>
        <v/>
      </c>
      <c r="G226" s="33" t="str">
        <f aca="false">IF(OR(D226="",F226=""),"",D226/5*F226)</f>
        <v/>
      </c>
    </row>
    <row r="227" customFormat="false" ht="15" hidden="false" customHeight="true" outlineLevel="0" collapsed="false">
      <c r="A227" s="30"/>
      <c r="C227" s="30"/>
      <c r="F227" s="9" t="str">
        <f aca="false">IF(C227="","",IFERROR(INDEX('Sub-principles'!$E$2:$E$11,MATCH(C227,'Sub-principles'!$A$2:$A$11,0)),""))</f>
        <v/>
      </c>
      <c r="G227" s="33" t="str">
        <f aca="false">IF(OR(D227="",F227=""),"",D227/5*F227)</f>
        <v/>
      </c>
    </row>
    <row r="228" customFormat="false" ht="15" hidden="false" customHeight="true" outlineLevel="0" collapsed="false">
      <c r="A228" s="30"/>
      <c r="C228" s="30"/>
      <c r="F228" s="9" t="str">
        <f aca="false">IF(C228="","",IFERROR(INDEX('Sub-principles'!$E$2:$E$11,MATCH(C228,'Sub-principles'!$A$2:$A$11,0)),""))</f>
        <v/>
      </c>
      <c r="G228" s="33" t="str">
        <f aca="false">IF(OR(D228="",F228=""),"",D228/5*F228)</f>
        <v/>
      </c>
    </row>
    <row r="229" customFormat="false" ht="15" hidden="false" customHeight="true" outlineLevel="0" collapsed="false">
      <c r="A229" s="30"/>
      <c r="C229" s="30"/>
      <c r="F229" s="9" t="str">
        <f aca="false">IF(C229="","",IFERROR(INDEX('Sub-principles'!$E$2:$E$11,MATCH(C229,'Sub-principles'!$A$2:$A$11,0)),""))</f>
        <v/>
      </c>
      <c r="G229" s="33" t="str">
        <f aca="false">IF(OR(D229="",F229=""),"",D229/5*F229)</f>
        <v/>
      </c>
    </row>
    <row r="230" customFormat="false" ht="15" hidden="false" customHeight="true" outlineLevel="0" collapsed="false">
      <c r="A230" s="30"/>
      <c r="C230" s="30"/>
      <c r="F230" s="9" t="str">
        <f aca="false">IF(C230="","",IFERROR(INDEX('Sub-principles'!$E$2:$E$11,MATCH(C230,'Sub-principles'!$A$2:$A$11,0)),""))</f>
        <v/>
      </c>
      <c r="G230" s="33" t="str">
        <f aca="false">IF(OR(D230="",F230=""),"",D230/5*F230)</f>
        <v/>
      </c>
    </row>
    <row r="231" customFormat="false" ht="15" hidden="false" customHeight="true" outlineLevel="0" collapsed="false">
      <c r="A231" s="30"/>
      <c r="C231" s="30"/>
      <c r="F231" s="9" t="str">
        <f aca="false">IF(C231="","",IFERROR(INDEX('Sub-principles'!$E$2:$E$11,MATCH(C231,'Sub-principles'!$A$2:$A$11,0)),""))</f>
        <v/>
      </c>
      <c r="G231" s="33" t="str">
        <f aca="false">IF(OR(D231="",F231=""),"",D231/5*F231)</f>
        <v/>
      </c>
    </row>
    <row r="232" customFormat="false" ht="15" hidden="false" customHeight="true" outlineLevel="0" collapsed="false">
      <c r="A232" s="30"/>
      <c r="C232" s="30"/>
      <c r="F232" s="9" t="str">
        <f aca="false">IF(C232="","",IFERROR(INDEX('Sub-principles'!$E$2:$E$11,MATCH(C232,'Sub-principles'!$A$2:$A$11,0)),""))</f>
        <v/>
      </c>
      <c r="G232" s="33" t="str">
        <f aca="false">IF(OR(D232="",F232=""),"",D232/5*F232)</f>
        <v/>
      </c>
    </row>
    <row r="233" customFormat="false" ht="15" hidden="false" customHeight="true" outlineLevel="0" collapsed="false">
      <c r="A233" s="30"/>
      <c r="C233" s="30"/>
      <c r="F233" s="9" t="str">
        <f aca="false">IF(C233="","",IFERROR(INDEX('Sub-principles'!$E$2:$E$11,MATCH(C233,'Sub-principles'!$A$2:$A$11,0)),""))</f>
        <v/>
      </c>
      <c r="G233" s="33" t="str">
        <f aca="false">IF(OR(D233="",F233=""),"",D233/5*F233)</f>
        <v/>
      </c>
    </row>
    <row r="234" customFormat="false" ht="15" hidden="false" customHeight="true" outlineLevel="0" collapsed="false">
      <c r="A234" s="30"/>
      <c r="C234" s="30"/>
      <c r="F234" s="9" t="str">
        <f aca="false">IF(C234="","",IFERROR(INDEX('Sub-principles'!$E$2:$E$11,MATCH(C234,'Sub-principles'!$A$2:$A$11,0)),""))</f>
        <v/>
      </c>
      <c r="G234" s="33" t="str">
        <f aca="false">IF(OR(D234="",F234=""),"",D234/5*F234)</f>
        <v/>
      </c>
    </row>
    <row r="235" customFormat="false" ht="15" hidden="false" customHeight="true" outlineLevel="0" collapsed="false">
      <c r="A235" s="30"/>
      <c r="C235" s="30"/>
      <c r="F235" s="9" t="str">
        <f aca="false">IF(C235="","",IFERROR(INDEX('Sub-principles'!$E$2:$E$11,MATCH(C235,'Sub-principles'!$A$2:$A$11,0)),""))</f>
        <v/>
      </c>
      <c r="G235" s="33" t="str">
        <f aca="false">IF(OR(D235="",F235=""),"",D235/5*F235)</f>
        <v/>
      </c>
    </row>
    <row r="236" customFormat="false" ht="15" hidden="false" customHeight="true" outlineLevel="0" collapsed="false">
      <c r="A236" s="30"/>
      <c r="C236" s="30"/>
      <c r="F236" s="9" t="str">
        <f aca="false">IF(C236="","",IFERROR(INDEX('Sub-principles'!$E$2:$E$11,MATCH(C236,'Sub-principles'!$A$2:$A$11,0)),""))</f>
        <v/>
      </c>
      <c r="G236" s="33" t="str">
        <f aca="false">IF(OR(D236="",F236=""),"",D236/5*F236)</f>
        <v/>
      </c>
    </row>
    <row r="237" customFormat="false" ht="15" hidden="false" customHeight="true" outlineLevel="0" collapsed="false">
      <c r="A237" s="30"/>
      <c r="C237" s="30"/>
      <c r="F237" s="9" t="str">
        <f aca="false">IF(C237="","",IFERROR(INDEX('Sub-principles'!$E$2:$E$11,MATCH(C237,'Sub-principles'!$A$2:$A$11,0)),""))</f>
        <v/>
      </c>
      <c r="G237" s="33" t="str">
        <f aca="false">IF(OR(D237="",F237=""),"",D237/5*F237)</f>
        <v/>
      </c>
    </row>
    <row r="238" customFormat="false" ht="15" hidden="false" customHeight="true" outlineLevel="0" collapsed="false">
      <c r="A238" s="30"/>
      <c r="C238" s="30"/>
      <c r="F238" s="9" t="str">
        <f aca="false">IF(C238="","",IFERROR(INDEX('Sub-principles'!$E$2:$E$11,MATCH(C238,'Sub-principles'!$A$2:$A$11,0)),""))</f>
        <v/>
      </c>
      <c r="G238" s="33" t="str">
        <f aca="false">IF(OR(D238="",F238=""),"",D238/5*F238)</f>
        <v/>
      </c>
    </row>
    <row r="239" customFormat="false" ht="15" hidden="false" customHeight="true" outlineLevel="0" collapsed="false">
      <c r="A239" s="30"/>
      <c r="C239" s="30"/>
      <c r="F239" s="9" t="str">
        <f aca="false">IF(C239="","",IFERROR(INDEX('Sub-principles'!$E$2:$E$11,MATCH(C239,'Sub-principles'!$A$2:$A$11,0)),""))</f>
        <v/>
      </c>
      <c r="G239" s="33" t="str">
        <f aca="false">IF(OR(D239="",F239=""),"",D239/5*F239)</f>
        <v/>
      </c>
    </row>
    <row r="240" customFormat="false" ht="15" hidden="false" customHeight="true" outlineLevel="0" collapsed="false">
      <c r="A240" s="30"/>
      <c r="C240" s="30"/>
      <c r="F240" s="9" t="str">
        <f aca="false">IF(C240="","",IFERROR(INDEX('Sub-principles'!$E$2:$E$11,MATCH(C240,'Sub-principles'!$A$2:$A$11,0)),""))</f>
        <v/>
      </c>
      <c r="G240" s="33" t="str">
        <f aca="false">IF(OR(D240="",F240=""),"",D240/5*F240)</f>
        <v/>
      </c>
    </row>
    <row r="241" customFormat="false" ht="15" hidden="false" customHeight="true" outlineLevel="0" collapsed="false">
      <c r="A241" s="30"/>
      <c r="C241" s="30"/>
      <c r="F241" s="9" t="str">
        <f aca="false">IF(C241="","",IFERROR(INDEX('Sub-principles'!$E$2:$E$11,MATCH(C241,'Sub-principles'!$A$2:$A$11,0)),""))</f>
        <v/>
      </c>
      <c r="G241" s="33" t="str">
        <f aca="false">IF(OR(D241="",F241=""),"",D241/5*F241)</f>
        <v/>
      </c>
    </row>
    <row r="242" customFormat="false" ht="15" hidden="false" customHeight="true" outlineLevel="0" collapsed="false">
      <c r="A242" s="30"/>
      <c r="C242" s="30"/>
      <c r="F242" s="9" t="str">
        <f aca="false">IF(C242="","",IFERROR(INDEX('Sub-principles'!$E$2:$E$11,MATCH(C242,'Sub-principles'!$A$2:$A$11,0)),""))</f>
        <v/>
      </c>
      <c r="G242" s="33" t="str">
        <f aca="false">IF(OR(D242="",F242=""),"",D242/5*F242)</f>
        <v/>
      </c>
    </row>
    <row r="243" customFormat="false" ht="15" hidden="false" customHeight="true" outlineLevel="0" collapsed="false">
      <c r="A243" s="30"/>
      <c r="C243" s="30"/>
      <c r="F243" s="9" t="str">
        <f aca="false">IF(C243="","",IFERROR(INDEX('Sub-principles'!$E$2:$E$11,MATCH(C243,'Sub-principles'!$A$2:$A$11,0)),""))</f>
        <v/>
      </c>
      <c r="G243" s="33" t="str">
        <f aca="false">IF(OR(D243="",F243=""),"",D243/5*F243)</f>
        <v/>
      </c>
    </row>
    <row r="244" customFormat="false" ht="15" hidden="false" customHeight="true" outlineLevel="0" collapsed="false">
      <c r="A244" s="30"/>
      <c r="C244" s="30"/>
      <c r="F244" s="9" t="str">
        <f aca="false">IF(C244="","",IFERROR(INDEX('Sub-principles'!$E$2:$E$11,MATCH(C244,'Sub-principles'!$A$2:$A$11,0)),""))</f>
        <v/>
      </c>
      <c r="G244" s="33" t="str">
        <f aca="false">IF(OR(D244="",F244=""),"",D244/5*F244)</f>
        <v/>
      </c>
    </row>
    <row r="245" customFormat="false" ht="15" hidden="false" customHeight="true" outlineLevel="0" collapsed="false">
      <c r="A245" s="30"/>
      <c r="C245" s="30"/>
      <c r="F245" s="9" t="str">
        <f aca="false">IF(C245="","",IFERROR(INDEX('Sub-principles'!$E$2:$E$11,MATCH(C245,'Sub-principles'!$A$2:$A$11,0)),""))</f>
        <v/>
      </c>
      <c r="G245" s="33" t="str">
        <f aca="false">IF(OR(D245="",F245=""),"",D245/5*F245)</f>
        <v/>
      </c>
    </row>
    <row r="246" customFormat="false" ht="15" hidden="false" customHeight="true" outlineLevel="0" collapsed="false">
      <c r="A246" s="30"/>
      <c r="C246" s="30"/>
      <c r="F246" s="9" t="str">
        <f aca="false">IF(C246="","",IFERROR(INDEX('Sub-principles'!$E$2:$E$11,MATCH(C246,'Sub-principles'!$A$2:$A$11,0)),""))</f>
        <v/>
      </c>
      <c r="G246" s="33" t="str">
        <f aca="false">IF(OR(D246="",F246=""),"",D246/5*F246)</f>
        <v/>
      </c>
    </row>
    <row r="247" customFormat="false" ht="15" hidden="false" customHeight="true" outlineLevel="0" collapsed="false">
      <c r="A247" s="30"/>
      <c r="C247" s="30"/>
      <c r="F247" s="9" t="str">
        <f aca="false">IF(C247="","",IFERROR(INDEX('Sub-principles'!$E$2:$E$11,MATCH(C247,'Sub-principles'!$A$2:$A$11,0)),""))</f>
        <v/>
      </c>
      <c r="G247" s="33" t="str">
        <f aca="false">IF(OR(D247="",F247=""),"",D247/5*F247)</f>
        <v/>
      </c>
    </row>
    <row r="248" customFormat="false" ht="15" hidden="false" customHeight="true" outlineLevel="0" collapsed="false">
      <c r="A248" s="30"/>
      <c r="C248" s="30"/>
      <c r="F248" s="9" t="str">
        <f aca="false">IF(C248="","",IFERROR(INDEX('Sub-principles'!$E$2:$E$11,MATCH(C248,'Sub-principles'!$A$2:$A$11,0)),""))</f>
        <v/>
      </c>
      <c r="G248" s="33" t="str">
        <f aca="false">IF(OR(D248="",F248=""),"",D248/5*F248)</f>
        <v/>
      </c>
    </row>
    <row r="249" customFormat="false" ht="15" hidden="false" customHeight="true" outlineLevel="0" collapsed="false">
      <c r="A249" s="30"/>
      <c r="C249" s="30"/>
      <c r="F249" s="9" t="str">
        <f aca="false">IF(C249="","",IFERROR(INDEX('Sub-principles'!$E$2:$E$11,MATCH(C249,'Sub-principles'!$A$2:$A$11,0)),""))</f>
        <v/>
      </c>
      <c r="G249" s="33" t="str">
        <f aca="false">IF(OR(D249="",F249=""),"",D249/5*F249)</f>
        <v/>
      </c>
    </row>
    <row r="250" customFormat="false" ht="15" hidden="false" customHeight="true" outlineLevel="0" collapsed="false">
      <c r="A250" s="30"/>
      <c r="C250" s="30"/>
      <c r="F250" s="9" t="str">
        <f aca="false">IF(C250="","",IFERROR(INDEX('Sub-principles'!$E$2:$E$11,MATCH(C250,'Sub-principles'!$A$2:$A$11,0)),""))</f>
        <v/>
      </c>
      <c r="G250" s="33" t="str">
        <f aca="false">IF(OR(D250="",F250=""),"",D250/5*F250)</f>
        <v/>
      </c>
    </row>
    <row r="251" customFormat="false" ht="15" hidden="false" customHeight="true" outlineLevel="0" collapsed="false">
      <c r="A251" s="30"/>
      <c r="C251" s="30"/>
      <c r="F251" s="9" t="str">
        <f aca="false">IF(C251="","",IFERROR(INDEX('Sub-principles'!$E$2:$E$11,MATCH(C251,'Sub-principles'!$A$2:$A$11,0)),""))</f>
        <v/>
      </c>
      <c r="G251" s="33" t="str">
        <f aca="false">IF(OR(D251="",F251=""),"",D251/5*F251)</f>
        <v/>
      </c>
    </row>
    <row r="252" customFormat="false" ht="15" hidden="false" customHeight="true" outlineLevel="0" collapsed="false">
      <c r="A252" s="30"/>
      <c r="C252" s="30"/>
      <c r="F252" s="9" t="str">
        <f aca="false">IF(C252="","",IFERROR(INDEX('Sub-principles'!$E$2:$E$11,MATCH(C252,'Sub-principles'!$A$2:$A$11,0)),""))</f>
        <v/>
      </c>
      <c r="G252" s="33" t="str">
        <f aca="false">IF(OR(D252="",F252=""),"",D252/5*F252)</f>
        <v/>
      </c>
    </row>
    <row r="253" customFormat="false" ht="15" hidden="false" customHeight="true" outlineLevel="0" collapsed="false">
      <c r="A253" s="30"/>
      <c r="C253" s="30"/>
      <c r="F253" s="9" t="str">
        <f aca="false">IF(C253="","",IFERROR(INDEX('Sub-principles'!$E$2:$E$11,MATCH(C253,'Sub-principles'!$A$2:$A$11,0)),""))</f>
        <v/>
      </c>
      <c r="G253" s="33" t="str">
        <f aca="false">IF(OR(D253="",F253=""),"",D253/5*F253)</f>
        <v/>
      </c>
    </row>
    <row r="254" customFormat="false" ht="15" hidden="false" customHeight="true" outlineLevel="0" collapsed="false">
      <c r="A254" s="30"/>
      <c r="C254" s="30"/>
      <c r="F254" s="9" t="str">
        <f aca="false">IF(C254="","",IFERROR(INDEX('Sub-principles'!$E$2:$E$11,MATCH(C254,'Sub-principles'!$A$2:$A$11,0)),""))</f>
        <v/>
      </c>
      <c r="G254" s="33" t="str">
        <f aca="false">IF(OR(D254="",F254=""),"",D254/5*F254)</f>
        <v/>
      </c>
    </row>
    <row r="255" customFormat="false" ht="15" hidden="false" customHeight="true" outlineLevel="0" collapsed="false">
      <c r="A255" s="30"/>
      <c r="C255" s="30"/>
      <c r="F255" s="9" t="str">
        <f aca="false">IF(C255="","",IFERROR(INDEX('Sub-principles'!$E$2:$E$11,MATCH(C255,'Sub-principles'!$A$2:$A$11,0)),""))</f>
        <v/>
      </c>
      <c r="G255" s="33" t="str">
        <f aca="false">IF(OR(D255="",F255=""),"",D255/5*F255)</f>
        <v/>
      </c>
    </row>
    <row r="256" customFormat="false" ht="15" hidden="false" customHeight="true" outlineLevel="0" collapsed="false">
      <c r="A256" s="30"/>
      <c r="C256" s="30"/>
      <c r="F256" s="9" t="str">
        <f aca="false">IF(C256="","",IFERROR(INDEX('Sub-principles'!$E$2:$E$11,MATCH(C256,'Sub-principles'!$A$2:$A$11,0)),""))</f>
        <v/>
      </c>
      <c r="G256" s="33" t="str">
        <f aca="false">IF(OR(D256="",F256=""),"",D256/5*F256)</f>
        <v/>
      </c>
    </row>
    <row r="257" customFormat="false" ht="15" hidden="false" customHeight="true" outlineLevel="0" collapsed="false">
      <c r="A257" s="30"/>
      <c r="C257" s="30"/>
      <c r="F257" s="9" t="str">
        <f aca="false">IF(C257="","",IFERROR(INDEX('Sub-principles'!$E$2:$E$11,MATCH(C257,'Sub-principles'!$A$2:$A$11,0)),""))</f>
        <v/>
      </c>
      <c r="G257" s="33" t="str">
        <f aca="false">IF(OR(D257="",F257=""),"",D257/5*F257)</f>
        <v/>
      </c>
    </row>
    <row r="258" customFormat="false" ht="15" hidden="false" customHeight="true" outlineLevel="0" collapsed="false">
      <c r="A258" s="30"/>
      <c r="C258" s="30"/>
      <c r="F258" s="9" t="str">
        <f aca="false">IF(C258="","",IFERROR(INDEX('Sub-principles'!$E$2:$E$11,MATCH(C258,'Sub-principles'!$A$2:$A$11,0)),""))</f>
        <v/>
      </c>
      <c r="G258" s="33" t="str">
        <f aca="false">IF(OR(D258="",F258=""),"",D258/5*F258)</f>
        <v/>
      </c>
    </row>
    <row r="259" customFormat="false" ht="15" hidden="false" customHeight="true" outlineLevel="0" collapsed="false">
      <c r="A259" s="30"/>
      <c r="C259" s="30"/>
      <c r="F259" s="9" t="str">
        <f aca="false">IF(C259="","",IFERROR(INDEX('Sub-principles'!$E$2:$E$11,MATCH(C259,'Sub-principles'!$A$2:$A$11,0)),""))</f>
        <v/>
      </c>
      <c r="G259" s="33" t="str">
        <f aca="false">IF(OR(D259="",F259=""),"",D259/5*F259)</f>
        <v/>
      </c>
    </row>
    <row r="260" customFormat="false" ht="15" hidden="false" customHeight="true" outlineLevel="0" collapsed="false">
      <c r="A260" s="30"/>
      <c r="C260" s="30"/>
      <c r="F260" s="9" t="str">
        <f aca="false">IF(C260="","",IFERROR(INDEX('Sub-principles'!$E$2:$E$11,MATCH(C260,'Sub-principles'!$A$2:$A$11,0)),""))</f>
        <v/>
      </c>
      <c r="G260" s="33" t="str">
        <f aca="false">IF(OR(D260="",F260=""),"",D260/5*F260)</f>
        <v/>
      </c>
    </row>
    <row r="261" customFormat="false" ht="15" hidden="false" customHeight="true" outlineLevel="0" collapsed="false">
      <c r="A261" s="30"/>
      <c r="C261" s="30"/>
      <c r="F261" s="9" t="str">
        <f aca="false">IF(C261="","",IFERROR(INDEX('Sub-principles'!$E$2:$E$11,MATCH(C261,'Sub-principles'!$A$2:$A$11,0)),""))</f>
        <v/>
      </c>
      <c r="G261" s="33" t="str">
        <f aca="false">IF(OR(D261="",F261=""),"",D261/5*F261)</f>
        <v/>
      </c>
    </row>
    <row r="262" customFormat="false" ht="15" hidden="false" customHeight="true" outlineLevel="0" collapsed="false">
      <c r="A262" s="30"/>
      <c r="C262" s="30"/>
      <c r="F262" s="9" t="str">
        <f aca="false">IF(C262="","",IFERROR(INDEX('Sub-principles'!$E$2:$E$11,MATCH(C262,'Sub-principles'!$A$2:$A$11,0)),""))</f>
        <v/>
      </c>
      <c r="G262" s="33" t="str">
        <f aca="false">IF(OR(D262="",F262=""),"",D262/5*F262)</f>
        <v/>
      </c>
    </row>
    <row r="263" customFormat="false" ht="15" hidden="false" customHeight="true" outlineLevel="0" collapsed="false">
      <c r="A263" s="30"/>
      <c r="C263" s="30"/>
      <c r="F263" s="9" t="str">
        <f aca="false">IF(C263="","",IFERROR(INDEX('Sub-principles'!$E$2:$E$11,MATCH(C263,'Sub-principles'!$A$2:$A$11,0)),""))</f>
        <v/>
      </c>
      <c r="G263" s="33" t="str">
        <f aca="false">IF(OR(D263="",F263=""),"",D263/5*F263)</f>
        <v/>
      </c>
    </row>
    <row r="264" customFormat="false" ht="15" hidden="false" customHeight="true" outlineLevel="0" collapsed="false">
      <c r="A264" s="30"/>
      <c r="C264" s="30"/>
      <c r="F264" s="9" t="str">
        <f aca="false">IF(C264="","",IFERROR(INDEX('Sub-principles'!$E$2:$E$11,MATCH(C264,'Sub-principles'!$A$2:$A$11,0)),""))</f>
        <v/>
      </c>
      <c r="G264" s="33" t="str">
        <f aca="false">IF(OR(D264="",F264=""),"",D264/5*F264)</f>
        <v/>
      </c>
    </row>
    <row r="265" customFormat="false" ht="15" hidden="false" customHeight="true" outlineLevel="0" collapsed="false">
      <c r="A265" s="30"/>
      <c r="C265" s="30"/>
      <c r="F265" s="9" t="str">
        <f aca="false">IF(C265="","",IFERROR(INDEX('Sub-principles'!$E$2:$E$11,MATCH(C265,'Sub-principles'!$A$2:$A$11,0)),""))</f>
        <v/>
      </c>
      <c r="G265" s="33" t="str">
        <f aca="false">IF(OR(D265="",F265=""),"",D265/5*F265)</f>
        <v/>
      </c>
    </row>
    <row r="266" customFormat="false" ht="15" hidden="false" customHeight="true" outlineLevel="0" collapsed="false">
      <c r="A266" s="30"/>
      <c r="C266" s="30"/>
      <c r="F266" s="9" t="str">
        <f aca="false">IF(C266="","",IFERROR(INDEX('Sub-principles'!$E$2:$E$11,MATCH(C266,'Sub-principles'!$A$2:$A$11,0)),""))</f>
        <v/>
      </c>
      <c r="G266" s="33" t="str">
        <f aca="false">IF(OR(D266="",F266=""),"",D266/5*F266)</f>
        <v/>
      </c>
    </row>
    <row r="267" customFormat="false" ht="15" hidden="false" customHeight="true" outlineLevel="0" collapsed="false">
      <c r="A267" s="30"/>
      <c r="C267" s="30"/>
      <c r="F267" s="9" t="str">
        <f aca="false">IF(C267="","",IFERROR(INDEX('Sub-principles'!$E$2:$E$11,MATCH(C267,'Sub-principles'!$A$2:$A$11,0)),""))</f>
        <v/>
      </c>
      <c r="G267" s="33" t="str">
        <f aca="false">IF(OR(D267="",F267=""),"",D267/5*F267)</f>
        <v/>
      </c>
    </row>
    <row r="268" customFormat="false" ht="15" hidden="false" customHeight="true" outlineLevel="0" collapsed="false">
      <c r="A268" s="30"/>
      <c r="C268" s="30"/>
      <c r="F268" s="9" t="str">
        <f aca="false">IF(C268="","",IFERROR(INDEX('Sub-principles'!$E$2:$E$11,MATCH(C268,'Sub-principles'!$A$2:$A$11,0)),""))</f>
        <v/>
      </c>
      <c r="G268" s="33" t="str">
        <f aca="false">IF(OR(D268="",F268=""),"",D268/5*F268)</f>
        <v/>
      </c>
    </row>
    <row r="269" customFormat="false" ht="15" hidden="false" customHeight="true" outlineLevel="0" collapsed="false">
      <c r="A269" s="30"/>
      <c r="C269" s="30"/>
      <c r="F269" s="9" t="str">
        <f aca="false">IF(C269="","",IFERROR(INDEX('Sub-principles'!$E$2:$E$11,MATCH(C269,'Sub-principles'!$A$2:$A$11,0)),""))</f>
        <v/>
      </c>
      <c r="G269" s="33" t="str">
        <f aca="false">IF(OR(D269="",F269=""),"",D269/5*F269)</f>
        <v/>
      </c>
    </row>
    <row r="270" customFormat="false" ht="15" hidden="false" customHeight="true" outlineLevel="0" collapsed="false">
      <c r="A270" s="30"/>
      <c r="C270" s="30"/>
      <c r="F270" s="9" t="str">
        <f aca="false">IF(C270="","",IFERROR(INDEX('Sub-principles'!$E$2:$E$11,MATCH(C270,'Sub-principles'!$A$2:$A$11,0)),""))</f>
        <v/>
      </c>
      <c r="G270" s="33" t="str">
        <f aca="false">IF(OR(D270="",F270=""),"",D270/5*F270)</f>
        <v/>
      </c>
    </row>
    <row r="271" customFormat="false" ht="15" hidden="false" customHeight="true" outlineLevel="0" collapsed="false">
      <c r="A271" s="30"/>
      <c r="C271" s="30"/>
      <c r="F271" s="9" t="str">
        <f aca="false">IF(C271="","",IFERROR(INDEX('Sub-principles'!$E$2:$E$11,MATCH(C271,'Sub-principles'!$A$2:$A$11,0)),""))</f>
        <v/>
      </c>
      <c r="G271" s="33" t="str">
        <f aca="false">IF(OR(D271="",F271=""),"",D271/5*F271)</f>
        <v/>
      </c>
    </row>
    <row r="272" customFormat="false" ht="15" hidden="false" customHeight="true" outlineLevel="0" collapsed="false">
      <c r="A272" s="30"/>
      <c r="C272" s="30"/>
      <c r="F272" s="9" t="str">
        <f aca="false">IF(C272="","",IFERROR(INDEX('Sub-principles'!$E$2:$E$11,MATCH(C272,'Sub-principles'!$A$2:$A$11,0)),""))</f>
        <v/>
      </c>
      <c r="G272" s="33" t="str">
        <f aca="false">IF(OR(D272="",F272=""),"",D272/5*F272)</f>
        <v/>
      </c>
    </row>
    <row r="273" customFormat="false" ht="15" hidden="false" customHeight="true" outlineLevel="0" collapsed="false">
      <c r="A273" s="30"/>
      <c r="C273" s="30"/>
      <c r="F273" s="9" t="str">
        <f aca="false">IF(C273="","",IFERROR(INDEX('Sub-principles'!$E$2:$E$11,MATCH(C273,'Sub-principles'!$A$2:$A$11,0)),""))</f>
        <v/>
      </c>
      <c r="G273" s="33" t="str">
        <f aca="false">IF(OR(D273="",F273=""),"",D273/5*F273)</f>
        <v/>
      </c>
    </row>
    <row r="274" customFormat="false" ht="15" hidden="false" customHeight="true" outlineLevel="0" collapsed="false">
      <c r="A274" s="30"/>
      <c r="C274" s="30"/>
      <c r="F274" s="9" t="str">
        <f aca="false">IF(C274="","",IFERROR(INDEX('Sub-principles'!$E$2:$E$11,MATCH(C274,'Sub-principles'!$A$2:$A$11,0)),""))</f>
        <v/>
      </c>
      <c r="G274" s="33" t="str">
        <f aca="false">IF(OR(D274="",F274=""),"",D274/5*F274)</f>
        <v/>
      </c>
    </row>
    <row r="275" customFormat="false" ht="15" hidden="false" customHeight="true" outlineLevel="0" collapsed="false">
      <c r="A275" s="30"/>
      <c r="C275" s="30"/>
      <c r="F275" s="9" t="str">
        <f aca="false">IF(C275="","",IFERROR(INDEX('Sub-principles'!$E$2:$E$11,MATCH(C275,'Sub-principles'!$A$2:$A$11,0)),""))</f>
        <v/>
      </c>
      <c r="G275" s="33" t="str">
        <f aca="false">IF(OR(D275="",F275=""),"",D275/5*F275)</f>
        <v/>
      </c>
    </row>
    <row r="276" customFormat="false" ht="15" hidden="false" customHeight="true" outlineLevel="0" collapsed="false">
      <c r="A276" s="30"/>
      <c r="C276" s="30"/>
      <c r="F276" s="9" t="str">
        <f aca="false">IF(C276="","",IFERROR(INDEX('Sub-principles'!$E$2:$E$11,MATCH(C276,'Sub-principles'!$A$2:$A$11,0)),""))</f>
        <v/>
      </c>
      <c r="G276" s="33" t="str">
        <f aca="false">IF(OR(D276="",F276=""),"",D276/5*F276)</f>
        <v/>
      </c>
    </row>
    <row r="277" customFormat="false" ht="15" hidden="false" customHeight="true" outlineLevel="0" collapsed="false">
      <c r="A277" s="30"/>
      <c r="C277" s="30"/>
      <c r="F277" s="9" t="str">
        <f aca="false">IF(C277="","",IFERROR(INDEX('Sub-principles'!$E$2:$E$11,MATCH(C277,'Sub-principles'!$A$2:$A$11,0)),""))</f>
        <v/>
      </c>
      <c r="G277" s="33" t="str">
        <f aca="false">IF(OR(D277="",F277=""),"",D277/5*F277)</f>
        <v/>
      </c>
    </row>
    <row r="278" customFormat="false" ht="15" hidden="false" customHeight="true" outlineLevel="0" collapsed="false">
      <c r="A278" s="30"/>
      <c r="C278" s="30"/>
      <c r="F278" s="9" t="str">
        <f aca="false">IF(C278="","",IFERROR(INDEX('Sub-principles'!$E$2:$E$11,MATCH(C278,'Sub-principles'!$A$2:$A$11,0)),""))</f>
        <v/>
      </c>
      <c r="G278" s="33" t="str">
        <f aca="false">IF(OR(D278="",F278=""),"",D278/5*F278)</f>
        <v/>
      </c>
    </row>
    <row r="279" customFormat="false" ht="15" hidden="false" customHeight="true" outlineLevel="0" collapsed="false">
      <c r="A279" s="30"/>
      <c r="C279" s="30"/>
      <c r="F279" s="9" t="str">
        <f aca="false">IF(C279="","",IFERROR(INDEX('Sub-principles'!$E$2:$E$11,MATCH(C279,'Sub-principles'!$A$2:$A$11,0)),""))</f>
        <v/>
      </c>
      <c r="G279" s="33" t="str">
        <f aca="false">IF(OR(D279="",F279=""),"",D279/5*F279)</f>
        <v/>
      </c>
    </row>
    <row r="280" customFormat="false" ht="15" hidden="false" customHeight="true" outlineLevel="0" collapsed="false">
      <c r="A280" s="30"/>
      <c r="C280" s="30"/>
      <c r="F280" s="9" t="str">
        <f aca="false">IF(C280="","",IFERROR(INDEX('Sub-principles'!$E$2:$E$11,MATCH(C280,'Sub-principles'!$A$2:$A$11,0)),""))</f>
        <v/>
      </c>
      <c r="G280" s="33" t="str">
        <f aca="false">IF(OR(D280="",F280=""),"",D280/5*F280)</f>
        <v/>
      </c>
    </row>
    <row r="281" customFormat="false" ht="15" hidden="false" customHeight="true" outlineLevel="0" collapsed="false">
      <c r="A281" s="30"/>
      <c r="C281" s="30"/>
      <c r="F281" s="9" t="str">
        <f aca="false">IF(C281="","",IFERROR(INDEX('Sub-principles'!$E$2:$E$11,MATCH(C281,'Sub-principles'!$A$2:$A$11,0)),""))</f>
        <v/>
      </c>
      <c r="G281" s="33" t="str">
        <f aca="false">IF(OR(D281="",F281=""),"",D281/5*F281)</f>
        <v/>
      </c>
    </row>
    <row r="282" customFormat="false" ht="15" hidden="false" customHeight="true" outlineLevel="0" collapsed="false">
      <c r="A282" s="30"/>
      <c r="C282" s="30"/>
      <c r="F282" s="9" t="str">
        <f aca="false">IF(C282="","",IFERROR(INDEX('Sub-principles'!$E$2:$E$11,MATCH(C282,'Sub-principles'!$A$2:$A$11,0)),""))</f>
        <v/>
      </c>
      <c r="G282" s="33" t="str">
        <f aca="false">IF(OR(D282="",F282=""),"",D282/5*F282)</f>
        <v/>
      </c>
    </row>
    <row r="283" customFormat="false" ht="15" hidden="false" customHeight="true" outlineLevel="0" collapsed="false">
      <c r="A283" s="30"/>
      <c r="C283" s="30"/>
      <c r="F283" s="9" t="str">
        <f aca="false">IF(C283="","",IFERROR(INDEX('Sub-principles'!$E$2:$E$11,MATCH(C283,'Sub-principles'!$A$2:$A$11,0)),""))</f>
        <v/>
      </c>
      <c r="G283" s="33" t="str">
        <f aca="false">IF(OR(D283="",F283=""),"",D283/5*F283)</f>
        <v/>
      </c>
    </row>
    <row r="284" customFormat="false" ht="15" hidden="false" customHeight="true" outlineLevel="0" collapsed="false">
      <c r="A284" s="30"/>
      <c r="C284" s="30"/>
      <c r="F284" s="9" t="str">
        <f aca="false">IF(C284="","",IFERROR(INDEX('Sub-principles'!$E$2:$E$11,MATCH(C284,'Sub-principles'!$A$2:$A$11,0)),""))</f>
        <v/>
      </c>
      <c r="G284" s="33" t="str">
        <f aca="false">IF(OR(D284="",F284=""),"",D284/5*F284)</f>
        <v/>
      </c>
    </row>
    <row r="285" customFormat="false" ht="15" hidden="false" customHeight="true" outlineLevel="0" collapsed="false">
      <c r="A285" s="30"/>
      <c r="C285" s="30"/>
      <c r="F285" s="9" t="str">
        <f aca="false">IF(C285="","",IFERROR(INDEX('Sub-principles'!$E$2:$E$11,MATCH(C285,'Sub-principles'!$A$2:$A$11,0)),""))</f>
        <v/>
      </c>
      <c r="G285" s="33" t="str">
        <f aca="false">IF(OR(D285="",F285=""),"",D285/5*F285)</f>
        <v/>
      </c>
    </row>
    <row r="286" customFormat="false" ht="15" hidden="false" customHeight="true" outlineLevel="0" collapsed="false">
      <c r="A286" s="30"/>
      <c r="C286" s="30"/>
      <c r="F286" s="9" t="str">
        <f aca="false">IF(C286="","",IFERROR(INDEX('Sub-principles'!$E$2:$E$11,MATCH(C286,'Sub-principles'!$A$2:$A$11,0)),""))</f>
        <v/>
      </c>
      <c r="G286" s="33" t="str">
        <f aca="false">IF(OR(D286="",F286=""),"",D286/5*F286)</f>
        <v/>
      </c>
    </row>
    <row r="287" customFormat="false" ht="15" hidden="false" customHeight="true" outlineLevel="0" collapsed="false">
      <c r="A287" s="30"/>
      <c r="C287" s="30"/>
      <c r="F287" s="9" t="str">
        <f aca="false">IF(C287="","",IFERROR(INDEX('Sub-principles'!$E$2:$E$11,MATCH(C287,'Sub-principles'!$A$2:$A$11,0)),""))</f>
        <v/>
      </c>
      <c r="G287" s="33" t="str">
        <f aca="false">IF(OR(D287="",F287=""),"",D287/5*F287)</f>
        <v/>
      </c>
    </row>
    <row r="288" customFormat="false" ht="15" hidden="false" customHeight="true" outlineLevel="0" collapsed="false">
      <c r="A288" s="30"/>
      <c r="C288" s="30"/>
      <c r="F288" s="9" t="str">
        <f aca="false">IF(C288="","",IFERROR(INDEX('Sub-principles'!$E$2:$E$11,MATCH(C288,'Sub-principles'!$A$2:$A$11,0)),""))</f>
        <v/>
      </c>
      <c r="G288" s="33" t="str">
        <f aca="false">IF(OR(D288="",F288=""),"",D288/5*F288)</f>
        <v/>
      </c>
    </row>
    <row r="289" customFormat="false" ht="15" hidden="false" customHeight="true" outlineLevel="0" collapsed="false">
      <c r="A289" s="30"/>
      <c r="C289" s="30"/>
      <c r="F289" s="9" t="str">
        <f aca="false">IF(C289="","",IFERROR(INDEX('Sub-principles'!$E$2:$E$11,MATCH(C289,'Sub-principles'!$A$2:$A$11,0)),""))</f>
        <v/>
      </c>
      <c r="G289" s="33" t="str">
        <f aca="false">IF(OR(D289="",F289=""),"",D289/5*F289)</f>
        <v/>
      </c>
    </row>
    <row r="290" customFormat="false" ht="15" hidden="false" customHeight="true" outlineLevel="0" collapsed="false">
      <c r="A290" s="30"/>
      <c r="C290" s="30"/>
      <c r="F290" s="9" t="str">
        <f aca="false">IF(C290="","",IFERROR(INDEX('Sub-principles'!$E$2:$E$11,MATCH(C290,'Sub-principles'!$A$2:$A$11,0)),""))</f>
        <v/>
      </c>
      <c r="G290" s="33" t="str">
        <f aca="false">IF(OR(D290="",F290=""),"",D290/5*F290)</f>
        <v/>
      </c>
    </row>
    <row r="291" customFormat="false" ht="15" hidden="false" customHeight="true" outlineLevel="0" collapsed="false">
      <c r="A291" s="30"/>
      <c r="C291" s="30"/>
      <c r="F291" s="9" t="str">
        <f aca="false">IF(C291="","",IFERROR(INDEX('Sub-principles'!$E$2:$E$11,MATCH(C291,'Sub-principles'!$A$2:$A$11,0)),""))</f>
        <v/>
      </c>
      <c r="G291" s="33" t="str">
        <f aca="false">IF(OR(D291="",F291=""),"",D291/5*F291)</f>
        <v/>
      </c>
    </row>
    <row r="292" customFormat="false" ht="15" hidden="false" customHeight="true" outlineLevel="0" collapsed="false">
      <c r="A292" s="30"/>
      <c r="C292" s="30"/>
      <c r="F292" s="9" t="str">
        <f aca="false">IF(C292="","",IFERROR(INDEX('Sub-principles'!$E$2:$E$11,MATCH(C292,'Sub-principles'!$A$2:$A$11,0)),""))</f>
        <v/>
      </c>
      <c r="G292" s="33" t="str">
        <f aca="false">IF(OR(D292="",F292=""),"",D292/5*F292)</f>
        <v/>
      </c>
    </row>
    <row r="293" customFormat="false" ht="15" hidden="false" customHeight="true" outlineLevel="0" collapsed="false">
      <c r="A293" s="30"/>
      <c r="C293" s="30"/>
      <c r="F293" s="9" t="str">
        <f aca="false">IF(C293="","",IFERROR(INDEX('Sub-principles'!$E$2:$E$11,MATCH(C293,'Sub-principles'!$A$2:$A$11,0)),""))</f>
        <v/>
      </c>
      <c r="G293" s="33" t="str">
        <f aca="false">IF(OR(D293="",F293=""),"",D293/5*F293)</f>
        <v/>
      </c>
    </row>
    <row r="294" customFormat="false" ht="15" hidden="false" customHeight="true" outlineLevel="0" collapsed="false">
      <c r="A294" s="30"/>
      <c r="C294" s="30"/>
      <c r="F294" s="9" t="str">
        <f aca="false">IF(C294="","",IFERROR(INDEX('Sub-principles'!$E$2:$E$11,MATCH(C294,'Sub-principles'!$A$2:$A$11,0)),""))</f>
        <v/>
      </c>
      <c r="G294" s="33" t="str">
        <f aca="false">IF(OR(D294="",F294=""),"",D294/5*F294)</f>
        <v/>
      </c>
    </row>
    <row r="295" customFormat="false" ht="15" hidden="false" customHeight="true" outlineLevel="0" collapsed="false">
      <c r="A295" s="30"/>
      <c r="C295" s="30"/>
      <c r="F295" s="9" t="str">
        <f aca="false">IF(C295="","",IFERROR(INDEX('Sub-principles'!$E$2:$E$11,MATCH(C295,'Sub-principles'!$A$2:$A$11,0)),""))</f>
        <v/>
      </c>
      <c r="G295" s="33" t="str">
        <f aca="false">IF(OR(D295="",F295=""),"",D295/5*F295)</f>
        <v/>
      </c>
    </row>
    <row r="296" customFormat="false" ht="15" hidden="false" customHeight="true" outlineLevel="0" collapsed="false">
      <c r="A296" s="30"/>
      <c r="C296" s="30"/>
      <c r="F296" s="9" t="str">
        <f aca="false">IF(C296="","",IFERROR(INDEX('Sub-principles'!$E$2:$E$11,MATCH(C296,'Sub-principles'!$A$2:$A$11,0)),""))</f>
        <v/>
      </c>
      <c r="G296" s="33" t="str">
        <f aca="false">IF(OR(D296="",F296=""),"",D296/5*F296)</f>
        <v/>
      </c>
    </row>
    <row r="297" customFormat="false" ht="15" hidden="false" customHeight="true" outlineLevel="0" collapsed="false">
      <c r="A297" s="30"/>
      <c r="C297" s="30"/>
      <c r="F297" s="9" t="str">
        <f aca="false">IF(C297="","",IFERROR(INDEX('Sub-principles'!$E$2:$E$11,MATCH(C297,'Sub-principles'!$A$2:$A$11,0)),""))</f>
        <v/>
      </c>
      <c r="G297" s="33" t="str">
        <f aca="false">IF(OR(D297="",F297=""),"",D297/5*F297)</f>
        <v/>
      </c>
    </row>
    <row r="298" customFormat="false" ht="15" hidden="false" customHeight="true" outlineLevel="0" collapsed="false">
      <c r="A298" s="30"/>
      <c r="C298" s="30"/>
      <c r="F298" s="9" t="str">
        <f aca="false">IF(C298="","",IFERROR(INDEX('Sub-principles'!$E$2:$E$11,MATCH(C298,'Sub-principles'!$A$2:$A$11,0)),""))</f>
        <v/>
      </c>
      <c r="G298" s="33" t="str">
        <f aca="false">IF(OR(D298="",F298=""),"",D298/5*F298)</f>
        <v/>
      </c>
    </row>
    <row r="299" customFormat="false" ht="15" hidden="false" customHeight="true" outlineLevel="0" collapsed="false">
      <c r="A299" s="30"/>
      <c r="C299" s="30"/>
      <c r="F299" s="9" t="str">
        <f aca="false">IF(C299="","",IFERROR(INDEX('Sub-principles'!$E$2:$E$11,MATCH(C299,'Sub-principles'!$A$2:$A$11,0)),""))</f>
        <v/>
      </c>
      <c r="G299" s="33" t="str">
        <f aca="false">IF(OR(D299="",F299=""),"",D299/5*F299)</f>
        <v/>
      </c>
    </row>
    <row r="300" customFormat="false" ht="15" hidden="false" customHeight="true" outlineLevel="0" collapsed="false">
      <c r="A300" s="30"/>
      <c r="C300" s="30"/>
      <c r="F300" s="9" t="str">
        <f aca="false">IF(C300="","",IFERROR(INDEX('Sub-principles'!$E$2:$E$11,MATCH(C300,'Sub-principles'!$A$2:$A$11,0)),""))</f>
        <v/>
      </c>
      <c r="G300" s="33" t="str">
        <f aca="false">IF(OR(D300="",F300=""),"",D300/5*F300)</f>
        <v/>
      </c>
    </row>
    <row r="301" customFormat="false" ht="15" hidden="false" customHeight="true" outlineLevel="0" collapsed="false">
      <c r="A301" s="30"/>
      <c r="C301" s="30"/>
      <c r="F301" s="9" t="str">
        <f aca="false">IF(C301="","",IFERROR(INDEX('Sub-principles'!$E$2:$E$11,MATCH(C301,'Sub-principles'!$A$2:$A$11,0)),""))</f>
        <v/>
      </c>
      <c r="G301" s="33" t="str">
        <f aca="false">IF(OR(D301="",F301=""),"",D301/5*F301)</f>
        <v/>
      </c>
    </row>
    <row r="302" customFormat="false" ht="15" hidden="false" customHeight="true" outlineLevel="0" collapsed="false">
      <c r="A302" s="30"/>
      <c r="C302" s="30"/>
      <c r="F302" s="9" t="str">
        <f aca="false">IF(C302="","",IFERROR(INDEX('Sub-principles'!$E$2:$E$11,MATCH(C302,'Sub-principles'!$A$2:$A$11,0)),""))</f>
        <v/>
      </c>
      <c r="G302" s="33" t="str">
        <f aca="false">IF(OR(D302="",F302=""),"",D302/5*F302)</f>
        <v/>
      </c>
    </row>
    <row r="303" customFormat="false" ht="15" hidden="false" customHeight="true" outlineLevel="0" collapsed="false">
      <c r="A303" s="30"/>
      <c r="C303" s="30"/>
      <c r="F303" s="9" t="str">
        <f aca="false">IF(C303="","",IFERROR(INDEX('Sub-principles'!$E$2:$E$11,MATCH(C303,'Sub-principles'!$A$2:$A$11,0)),""))</f>
        <v/>
      </c>
      <c r="G303" s="33" t="str">
        <f aca="false">IF(OR(D303="",F303=""),"",D303/5*F303)</f>
        <v/>
      </c>
    </row>
    <row r="304" customFormat="false" ht="15" hidden="false" customHeight="true" outlineLevel="0" collapsed="false">
      <c r="A304" s="30"/>
      <c r="C304" s="30"/>
      <c r="F304" s="9" t="str">
        <f aca="false">IF(C304="","",IFERROR(INDEX('Sub-principles'!$E$2:$E$11,MATCH(C304,'Sub-principles'!$A$2:$A$11,0)),""))</f>
        <v/>
      </c>
      <c r="G304" s="33" t="str">
        <f aca="false">IF(OR(D304="",F304=""),"",D304/5*F304)</f>
        <v/>
      </c>
    </row>
    <row r="305" customFormat="false" ht="15" hidden="false" customHeight="true" outlineLevel="0" collapsed="false">
      <c r="A305" s="30"/>
      <c r="C305" s="30"/>
      <c r="F305" s="9" t="str">
        <f aca="false">IF(C305="","",IFERROR(INDEX('Sub-principles'!$E$2:$E$11,MATCH(C305,'Sub-principles'!$A$2:$A$11,0)),""))</f>
        <v/>
      </c>
      <c r="G305" s="33" t="str">
        <f aca="false">IF(OR(D305="",F305=""),"",D305/5*F305)</f>
        <v/>
      </c>
    </row>
    <row r="306" customFormat="false" ht="15" hidden="false" customHeight="true" outlineLevel="0" collapsed="false">
      <c r="A306" s="30"/>
      <c r="C306" s="30"/>
      <c r="F306" s="9" t="str">
        <f aca="false">IF(C306="","",IFERROR(INDEX('Sub-principles'!$E$2:$E$11,MATCH(C306,'Sub-principles'!$A$2:$A$11,0)),""))</f>
        <v/>
      </c>
      <c r="G306" s="33" t="str">
        <f aca="false">IF(OR(D306="",F306=""),"",D306/5*F306)</f>
        <v/>
      </c>
    </row>
    <row r="307" customFormat="false" ht="15" hidden="false" customHeight="true" outlineLevel="0" collapsed="false">
      <c r="A307" s="30"/>
      <c r="C307" s="30"/>
      <c r="F307" s="9" t="str">
        <f aca="false">IF(C307="","",IFERROR(INDEX('Sub-principles'!$E$2:$E$11,MATCH(C307,'Sub-principles'!$A$2:$A$11,0)),""))</f>
        <v/>
      </c>
      <c r="G307" s="33" t="str">
        <f aca="false">IF(OR(D307="",F307=""),"",D307/5*F307)</f>
        <v/>
      </c>
    </row>
    <row r="308" customFormat="false" ht="15" hidden="false" customHeight="true" outlineLevel="0" collapsed="false">
      <c r="A308" s="30"/>
      <c r="C308" s="30"/>
      <c r="F308" s="9" t="str">
        <f aca="false">IF(C308="","",IFERROR(INDEX('Sub-principles'!$E$2:$E$11,MATCH(C308,'Sub-principles'!$A$2:$A$11,0)),""))</f>
        <v/>
      </c>
      <c r="G308" s="33" t="str">
        <f aca="false">IF(OR(D308="",F308=""),"",D308/5*F308)</f>
        <v/>
      </c>
    </row>
    <row r="309" customFormat="false" ht="15" hidden="false" customHeight="true" outlineLevel="0" collapsed="false">
      <c r="A309" s="30"/>
      <c r="C309" s="30"/>
      <c r="F309" s="9" t="str">
        <f aca="false">IF(C309="","",IFERROR(INDEX('Sub-principles'!$E$2:$E$11,MATCH(C309,'Sub-principles'!$A$2:$A$11,0)),""))</f>
        <v/>
      </c>
      <c r="G309" s="33" t="str">
        <f aca="false">IF(OR(D309="",F309=""),"",D309/5*F309)</f>
        <v/>
      </c>
    </row>
    <row r="310" customFormat="false" ht="15" hidden="false" customHeight="true" outlineLevel="0" collapsed="false">
      <c r="A310" s="30"/>
      <c r="C310" s="30"/>
      <c r="F310" s="9" t="str">
        <f aca="false">IF(C310="","",IFERROR(INDEX('Sub-principles'!$E$2:$E$11,MATCH(C310,'Sub-principles'!$A$2:$A$11,0)),""))</f>
        <v/>
      </c>
      <c r="G310" s="33" t="str">
        <f aca="false">IF(OR(D310="",F310=""),"",D310/5*F310)</f>
        <v/>
      </c>
    </row>
    <row r="311" customFormat="false" ht="15" hidden="false" customHeight="true" outlineLevel="0" collapsed="false">
      <c r="A311" s="30"/>
      <c r="C311" s="30"/>
      <c r="F311" s="9" t="str">
        <f aca="false">IF(C311="","",IFERROR(INDEX('Sub-principles'!$E$2:$E$11,MATCH(C311,'Sub-principles'!$A$2:$A$11,0)),""))</f>
        <v/>
      </c>
      <c r="G311" s="33" t="str">
        <f aca="false">IF(OR(D311="",F311=""),"",D311/5*F311)</f>
        <v/>
      </c>
    </row>
    <row r="312" customFormat="false" ht="15" hidden="false" customHeight="true" outlineLevel="0" collapsed="false">
      <c r="A312" s="30"/>
      <c r="C312" s="30"/>
      <c r="F312" s="9" t="str">
        <f aca="false">IF(C312="","",IFERROR(INDEX('Sub-principles'!$E$2:$E$11,MATCH(C312,'Sub-principles'!$A$2:$A$11,0)),""))</f>
        <v/>
      </c>
      <c r="G312" s="33" t="str">
        <f aca="false">IF(OR(D312="",F312=""),"",D312/5*F312)</f>
        <v/>
      </c>
    </row>
    <row r="313" customFormat="false" ht="15" hidden="false" customHeight="true" outlineLevel="0" collapsed="false">
      <c r="A313" s="30"/>
      <c r="C313" s="30"/>
      <c r="F313" s="9" t="str">
        <f aca="false">IF(C313="","",IFERROR(INDEX('Sub-principles'!$E$2:$E$11,MATCH(C313,'Sub-principles'!$A$2:$A$11,0)),""))</f>
        <v/>
      </c>
      <c r="G313" s="33" t="str">
        <f aca="false">IF(OR(D313="",F313=""),"",D313/5*F313)</f>
        <v/>
      </c>
    </row>
    <row r="314" customFormat="false" ht="15" hidden="false" customHeight="true" outlineLevel="0" collapsed="false">
      <c r="A314" s="30"/>
      <c r="C314" s="30"/>
      <c r="F314" s="9" t="str">
        <f aca="false">IF(C314="","",IFERROR(INDEX('Sub-principles'!$E$2:$E$11,MATCH(C314,'Sub-principles'!$A$2:$A$11,0)),""))</f>
        <v/>
      </c>
      <c r="G314" s="33" t="str">
        <f aca="false">IF(OR(D314="",F314=""),"",D314/5*F314)</f>
        <v/>
      </c>
    </row>
    <row r="315" customFormat="false" ht="15" hidden="false" customHeight="true" outlineLevel="0" collapsed="false">
      <c r="A315" s="30"/>
      <c r="C315" s="30"/>
      <c r="F315" s="9" t="str">
        <f aca="false">IF(C315="","",IFERROR(INDEX('Sub-principles'!$E$2:$E$11,MATCH(C315,'Sub-principles'!$A$2:$A$11,0)),""))</f>
        <v/>
      </c>
      <c r="G315" s="33" t="str">
        <f aca="false">IF(OR(D315="",F315=""),"",D315/5*F315)</f>
        <v/>
      </c>
    </row>
    <row r="316" customFormat="false" ht="15" hidden="false" customHeight="true" outlineLevel="0" collapsed="false">
      <c r="A316" s="30"/>
      <c r="C316" s="30"/>
      <c r="F316" s="9" t="str">
        <f aca="false">IF(C316="","",IFERROR(INDEX('Sub-principles'!$E$2:$E$11,MATCH(C316,'Sub-principles'!$A$2:$A$11,0)),""))</f>
        <v/>
      </c>
      <c r="G316" s="33" t="str">
        <f aca="false">IF(OR(D316="",F316=""),"",D316/5*F316)</f>
        <v/>
      </c>
    </row>
    <row r="317" customFormat="false" ht="15" hidden="false" customHeight="true" outlineLevel="0" collapsed="false">
      <c r="A317" s="30"/>
      <c r="C317" s="30"/>
      <c r="F317" s="9" t="str">
        <f aca="false">IF(C317="","",IFERROR(INDEX('Sub-principles'!$E$2:$E$11,MATCH(C317,'Sub-principles'!$A$2:$A$11,0)),""))</f>
        <v/>
      </c>
      <c r="G317" s="33" t="str">
        <f aca="false">IF(OR(D317="",F317=""),"",D317/5*F317)</f>
        <v/>
      </c>
    </row>
    <row r="318" customFormat="false" ht="15" hidden="false" customHeight="true" outlineLevel="0" collapsed="false">
      <c r="A318" s="30"/>
      <c r="C318" s="30"/>
      <c r="F318" s="9" t="str">
        <f aca="false">IF(C318="","",IFERROR(INDEX('Sub-principles'!$E$2:$E$11,MATCH(C318,'Sub-principles'!$A$2:$A$11,0)),""))</f>
        <v/>
      </c>
      <c r="G318" s="33" t="str">
        <f aca="false">IF(OR(D318="",F318=""),"",D318/5*F318)</f>
        <v/>
      </c>
    </row>
    <row r="319" customFormat="false" ht="15" hidden="false" customHeight="true" outlineLevel="0" collapsed="false">
      <c r="A319" s="30"/>
      <c r="C319" s="30"/>
      <c r="F319" s="9" t="str">
        <f aca="false">IF(C319="","",IFERROR(INDEX('Sub-principles'!$E$2:$E$11,MATCH(C319,'Sub-principles'!$A$2:$A$11,0)),""))</f>
        <v/>
      </c>
      <c r="G319" s="33" t="str">
        <f aca="false">IF(OR(D319="",F319=""),"",D319/5*F319)</f>
        <v/>
      </c>
    </row>
    <row r="320" customFormat="false" ht="15" hidden="false" customHeight="true" outlineLevel="0" collapsed="false">
      <c r="A320" s="30"/>
      <c r="C320" s="30"/>
      <c r="F320" s="9" t="str">
        <f aca="false">IF(C320="","",IFERROR(INDEX('Sub-principles'!$E$2:$E$11,MATCH(C320,'Sub-principles'!$A$2:$A$11,0)),""))</f>
        <v/>
      </c>
      <c r="G320" s="33" t="str">
        <f aca="false">IF(OR(D320="",F320=""),"",D320/5*F320)</f>
        <v/>
      </c>
    </row>
    <row r="321" customFormat="false" ht="15" hidden="false" customHeight="true" outlineLevel="0" collapsed="false">
      <c r="A321" s="30"/>
      <c r="C321" s="30"/>
      <c r="F321" s="9" t="str">
        <f aca="false">IF(C321="","",IFERROR(INDEX('Sub-principles'!$E$2:$E$11,MATCH(C321,'Sub-principles'!$A$2:$A$11,0)),""))</f>
        <v/>
      </c>
      <c r="G321" s="33" t="str">
        <f aca="false">IF(OR(D321="",F321=""),"",D321/5*F321)</f>
        <v/>
      </c>
    </row>
    <row r="322" customFormat="false" ht="15" hidden="false" customHeight="true" outlineLevel="0" collapsed="false">
      <c r="A322" s="30"/>
      <c r="C322" s="30"/>
      <c r="F322" s="9" t="str">
        <f aca="false">IF(C322="","",IFERROR(INDEX('Sub-principles'!$E$2:$E$11,MATCH(C322,'Sub-principles'!$A$2:$A$11,0)),""))</f>
        <v/>
      </c>
      <c r="G322" s="33" t="str">
        <f aca="false">IF(OR(D322="",F322=""),"",D322/5*F322)</f>
        <v/>
      </c>
    </row>
    <row r="323" customFormat="false" ht="15" hidden="false" customHeight="true" outlineLevel="0" collapsed="false">
      <c r="A323" s="30"/>
      <c r="C323" s="30"/>
      <c r="F323" s="9" t="str">
        <f aca="false">IF(C323="","",IFERROR(INDEX('Sub-principles'!$E$2:$E$11,MATCH(C323,'Sub-principles'!$A$2:$A$11,0)),""))</f>
        <v/>
      </c>
      <c r="G323" s="33" t="str">
        <f aca="false">IF(OR(D323="",F323=""),"",D323/5*F323)</f>
        <v/>
      </c>
    </row>
    <row r="324" customFormat="false" ht="15" hidden="false" customHeight="true" outlineLevel="0" collapsed="false">
      <c r="A324" s="30"/>
      <c r="C324" s="30"/>
      <c r="F324" s="9" t="str">
        <f aca="false">IF(C324="","",IFERROR(INDEX('Sub-principles'!$E$2:$E$11,MATCH(C324,'Sub-principles'!$A$2:$A$11,0)),""))</f>
        <v/>
      </c>
      <c r="G324" s="33" t="str">
        <f aca="false">IF(OR(D324="",F324=""),"",D324/5*F324)</f>
        <v/>
      </c>
    </row>
    <row r="325" customFormat="false" ht="15" hidden="false" customHeight="true" outlineLevel="0" collapsed="false">
      <c r="A325" s="30"/>
      <c r="C325" s="30"/>
      <c r="F325" s="9" t="str">
        <f aca="false">IF(C325="","",IFERROR(INDEX('Sub-principles'!$E$2:$E$11,MATCH(C325,'Sub-principles'!$A$2:$A$11,0)),""))</f>
        <v/>
      </c>
      <c r="G325" s="33" t="str">
        <f aca="false">IF(OR(D325="",F325=""),"",D325/5*F325)</f>
        <v/>
      </c>
    </row>
    <row r="326" customFormat="false" ht="15" hidden="false" customHeight="true" outlineLevel="0" collapsed="false">
      <c r="A326" s="30"/>
      <c r="C326" s="30"/>
      <c r="F326" s="9" t="str">
        <f aca="false">IF(C326="","",IFERROR(INDEX('Sub-principles'!$E$2:$E$11,MATCH(C326,'Sub-principles'!$A$2:$A$11,0)),""))</f>
        <v/>
      </c>
      <c r="G326" s="33" t="str">
        <f aca="false">IF(OR(D326="",F326=""),"",D326/5*F326)</f>
        <v/>
      </c>
    </row>
    <row r="327" customFormat="false" ht="15" hidden="false" customHeight="true" outlineLevel="0" collapsed="false">
      <c r="A327" s="30"/>
      <c r="C327" s="30"/>
      <c r="F327" s="9" t="str">
        <f aca="false">IF(C327="","",IFERROR(INDEX('Sub-principles'!$E$2:$E$11,MATCH(C327,'Sub-principles'!$A$2:$A$11,0)),""))</f>
        <v/>
      </c>
      <c r="G327" s="33" t="str">
        <f aca="false">IF(OR(D327="",F327=""),"",D327/5*F327)</f>
        <v/>
      </c>
    </row>
    <row r="328" customFormat="false" ht="15" hidden="false" customHeight="true" outlineLevel="0" collapsed="false">
      <c r="A328" s="30"/>
      <c r="C328" s="30"/>
      <c r="F328" s="9" t="str">
        <f aca="false">IF(C328="","",IFERROR(INDEX('Sub-principles'!$E$2:$E$11,MATCH(C328,'Sub-principles'!$A$2:$A$11,0)),""))</f>
        <v/>
      </c>
      <c r="G328" s="33" t="str">
        <f aca="false">IF(OR(D328="",F328=""),"",D328/5*F328)</f>
        <v/>
      </c>
    </row>
    <row r="329" customFormat="false" ht="15" hidden="false" customHeight="true" outlineLevel="0" collapsed="false">
      <c r="A329" s="30"/>
      <c r="C329" s="30"/>
      <c r="F329" s="9" t="str">
        <f aca="false">IF(C329="","",IFERROR(INDEX('Sub-principles'!$E$2:$E$11,MATCH(C329,'Sub-principles'!$A$2:$A$11,0)),""))</f>
        <v/>
      </c>
      <c r="G329" s="33" t="str">
        <f aca="false">IF(OR(D329="",F329=""),"",D329/5*F329)</f>
        <v/>
      </c>
    </row>
    <row r="330" customFormat="false" ht="15" hidden="false" customHeight="true" outlineLevel="0" collapsed="false">
      <c r="A330" s="30"/>
      <c r="C330" s="30"/>
      <c r="F330" s="9" t="str">
        <f aca="false">IF(C330="","",IFERROR(INDEX('Sub-principles'!$E$2:$E$11,MATCH(C330,'Sub-principles'!$A$2:$A$11,0)),""))</f>
        <v/>
      </c>
      <c r="G330" s="33" t="str">
        <f aca="false">IF(OR(D330="",F330=""),"",D330/5*F330)</f>
        <v/>
      </c>
    </row>
    <row r="331" customFormat="false" ht="15" hidden="false" customHeight="true" outlineLevel="0" collapsed="false">
      <c r="A331" s="30"/>
      <c r="C331" s="30"/>
      <c r="F331" s="9" t="str">
        <f aca="false">IF(C331="","",IFERROR(INDEX('Sub-principles'!$E$2:$E$11,MATCH(C331,'Sub-principles'!$A$2:$A$11,0)),""))</f>
        <v/>
      </c>
      <c r="G331" s="33" t="str">
        <f aca="false">IF(OR(D331="",F331=""),"",D331/5*F331)</f>
        <v/>
      </c>
    </row>
    <row r="332" customFormat="false" ht="15" hidden="false" customHeight="true" outlineLevel="0" collapsed="false">
      <c r="A332" s="30"/>
      <c r="C332" s="30"/>
      <c r="F332" s="9" t="str">
        <f aca="false">IF(C332="","",IFERROR(INDEX('Sub-principles'!$E$2:$E$11,MATCH(C332,'Sub-principles'!$A$2:$A$11,0)),""))</f>
        <v/>
      </c>
      <c r="G332" s="33" t="str">
        <f aca="false">IF(OR(D332="",F332=""),"",D332/5*F332)</f>
        <v/>
      </c>
    </row>
    <row r="333" customFormat="false" ht="15" hidden="false" customHeight="true" outlineLevel="0" collapsed="false">
      <c r="A333" s="30"/>
      <c r="C333" s="30"/>
      <c r="F333" s="9" t="str">
        <f aca="false">IF(C333="","",IFERROR(INDEX('Sub-principles'!$E$2:$E$11,MATCH(C333,'Sub-principles'!$A$2:$A$11,0)),""))</f>
        <v/>
      </c>
      <c r="G333" s="33" t="str">
        <f aca="false">IF(OR(D333="",F333=""),"",D333/5*F333)</f>
        <v/>
      </c>
    </row>
    <row r="334" customFormat="false" ht="15" hidden="false" customHeight="true" outlineLevel="0" collapsed="false">
      <c r="A334" s="30"/>
      <c r="C334" s="30"/>
      <c r="F334" s="9" t="str">
        <f aca="false">IF(C334="","",IFERROR(INDEX('Sub-principles'!$E$2:$E$11,MATCH(C334,'Sub-principles'!$A$2:$A$11,0)),""))</f>
        <v/>
      </c>
      <c r="G334" s="33" t="str">
        <f aca="false">IF(OR(D334="",F334=""),"",D334/5*F334)</f>
        <v/>
      </c>
    </row>
    <row r="335" customFormat="false" ht="15" hidden="false" customHeight="true" outlineLevel="0" collapsed="false">
      <c r="A335" s="30"/>
      <c r="C335" s="30"/>
      <c r="F335" s="9" t="str">
        <f aca="false">IF(C335="","",IFERROR(INDEX('Sub-principles'!$E$2:$E$11,MATCH(C335,'Sub-principles'!$A$2:$A$11,0)),""))</f>
        <v/>
      </c>
      <c r="G335" s="33" t="str">
        <f aca="false">IF(OR(D335="",F335=""),"",D335/5*F335)</f>
        <v/>
      </c>
    </row>
    <row r="336" customFormat="false" ht="15" hidden="false" customHeight="true" outlineLevel="0" collapsed="false">
      <c r="A336" s="30"/>
      <c r="C336" s="30"/>
      <c r="F336" s="9" t="str">
        <f aca="false">IF(C336="","",IFERROR(INDEX('Sub-principles'!$E$2:$E$11,MATCH(C336,'Sub-principles'!$A$2:$A$11,0)),""))</f>
        <v/>
      </c>
      <c r="G336" s="33" t="str">
        <f aca="false">IF(OR(D336="",F336=""),"",D336/5*F336)</f>
        <v/>
      </c>
    </row>
    <row r="337" customFormat="false" ht="15" hidden="false" customHeight="true" outlineLevel="0" collapsed="false">
      <c r="A337" s="30"/>
      <c r="C337" s="30"/>
      <c r="F337" s="9" t="str">
        <f aca="false">IF(C337="","",IFERROR(INDEX('Sub-principles'!$E$2:$E$11,MATCH(C337,'Sub-principles'!$A$2:$A$11,0)),""))</f>
        <v/>
      </c>
      <c r="G337" s="33" t="str">
        <f aca="false">IF(OR(D337="",F337=""),"",D337/5*F337)</f>
        <v/>
      </c>
    </row>
    <row r="338" customFormat="false" ht="15" hidden="false" customHeight="true" outlineLevel="0" collapsed="false">
      <c r="A338" s="30"/>
      <c r="C338" s="30"/>
      <c r="F338" s="9" t="str">
        <f aca="false">IF(C338="","",IFERROR(INDEX('Sub-principles'!$E$2:$E$11,MATCH(C338,'Sub-principles'!$A$2:$A$11,0)),""))</f>
        <v/>
      </c>
      <c r="G338" s="33" t="str">
        <f aca="false">IF(OR(D338="",F338=""),"",D338/5*F338)</f>
        <v/>
      </c>
    </row>
    <row r="339" customFormat="false" ht="15" hidden="false" customHeight="true" outlineLevel="0" collapsed="false">
      <c r="A339" s="30"/>
      <c r="C339" s="30"/>
      <c r="F339" s="9" t="str">
        <f aca="false">IF(C339="","",IFERROR(INDEX('Sub-principles'!$E$2:$E$11,MATCH(C339,'Sub-principles'!$A$2:$A$11,0)),""))</f>
        <v/>
      </c>
      <c r="G339" s="33" t="str">
        <f aca="false">IF(OR(D339="",F339=""),"",D339/5*F339)</f>
        <v/>
      </c>
    </row>
    <row r="340" customFormat="false" ht="15" hidden="false" customHeight="true" outlineLevel="0" collapsed="false">
      <c r="A340" s="30"/>
      <c r="C340" s="30"/>
      <c r="F340" s="9" t="str">
        <f aca="false">IF(C340="","",IFERROR(INDEX('Sub-principles'!$E$2:$E$11,MATCH(C340,'Sub-principles'!$A$2:$A$11,0)),""))</f>
        <v/>
      </c>
      <c r="G340" s="33" t="str">
        <f aca="false">IF(OR(D340="",F340=""),"",D340/5*F340)</f>
        <v/>
      </c>
    </row>
    <row r="341" customFormat="false" ht="15" hidden="false" customHeight="true" outlineLevel="0" collapsed="false">
      <c r="A341" s="30"/>
      <c r="C341" s="30"/>
      <c r="F341" s="9" t="str">
        <f aca="false">IF(C341="","",IFERROR(INDEX('Sub-principles'!$E$2:$E$11,MATCH(C341,'Sub-principles'!$A$2:$A$11,0)),""))</f>
        <v/>
      </c>
      <c r="G341" s="33" t="str">
        <f aca="false">IF(OR(D341="",F341=""),"",D341/5*F341)</f>
        <v/>
      </c>
    </row>
    <row r="342" customFormat="false" ht="15" hidden="false" customHeight="true" outlineLevel="0" collapsed="false">
      <c r="A342" s="30"/>
      <c r="C342" s="30"/>
      <c r="F342" s="9" t="str">
        <f aca="false">IF(C342="","",IFERROR(INDEX('Sub-principles'!$E$2:$E$11,MATCH(C342,'Sub-principles'!$A$2:$A$11,0)),""))</f>
        <v/>
      </c>
      <c r="G342" s="33" t="str">
        <f aca="false">IF(OR(D342="",F342=""),"",D342/5*F342)</f>
        <v/>
      </c>
    </row>
    <row r="343" customFormat="false" ht="15" hidden="false" customHeight="true" outlineLevel="0" collapsed="false">
      <c r="A343" s="30"/>
      <c r="C343" s="30"/>
      <c r="F343" s="9" t="str">
        <f aca="false">IF(C343="","",IFERROR(INDEX('Sub-principles'!$E$2:$E$11,MATCH(C343,'Sub-principles'!$A$2:$A$11,0)),""))</f>
        <v/>
      </c>
      <c r="G343" s="33" t="str">
        <f aca="false">IF(OR(D343="",F343=""),"",D343/5*F343)</f>
        <v/>
      </c>
    </row>
    <row r="344" customFormat="false" ht="15" hidden="false" customHeight="true" outlineLevel="0" collapsed="false">
      <c r="A344" s="30"/>
      <c r="C344" s="30"/>
      <c r="F344" s="9" t="str">
        <f aca="false">IF(C344="","",IFERROR(INDEX('Sub-principles'!$E$2:$E$11,MATCH(C344,'Sub-principles'!$A$2:$A$11,0)),""))</f>
        <v/>
      </c>
      <c r="G344" s="33" t="str">
        <f aca="false">IF(OR(D344="",F344=""),"",D344/5*F344)</f>
        <v/>
      </c>
    </row>
    <row r="345" customFormat="false" ht="15" hidden="false" customHeight="true" outlineLevel="0" collapsed="false">
      <c r="A345" s="30"/>
      <c r="C345" s="30"/>
      <c r="F345" s="9" t="str">
        <f aca="false">IF(C345="","",IFERROR(INDEX('Sub-principles'!$E$2:$E$11,MATCH(C345,'Sub-principles'!$A$2:$A$11,0)),""))</f>
        <v/>
      </c>
      <c r="G345" s="33" t="str">
        <f aca="false">IF(OR(D345="",F345=""),"",D345/5*F345)</f>
        <v/>
      </c>
    </row>
    <row r="346" customFormat="false" ht="15" hidden="false" customHeight="true" outlineLevel="0" collapsed="false">
      <c r="A346" s="30"/>
      <c r="C346" s="30"/>
      <c r="F346" s="9" t="str">
        <f aca="false">IF(C346="","",IFERROR(INDEX('Sub-principles'!$E$2:$E$11,MATCH(C346,'Sub-principles'!$A$2:$A$11,0)),""))</f>
        <v/>
      </c>
      <c r="G346" s="33" t="str">
        <f aca="false">IF(OR(D346="",F346=""),"",D346/5*F346)</f>
        <v/>
      </c>
    </row>
    <row r="347" customFormat="false" ht="15" hidden="false" customHeight="true" outlineLevel="0" collapsed="false">
      <c r="A347" s="30"/>
      <c r="C347" s="30"/>
      <c r="F347" s="9" t="str">
        <f aca="false">IF(C347="","",IFERROR(INDEX('Sub-principles'!$E$2:$E$11,MATCH(C347,'Sub-principles'!$A$2:$A$11,0)),""))</f>
        <v/>
      </c>
      <c r="G347" s="33" t="str">
        <f aca="false">IF(OR(D347="",F347=""),"",D347/5*F347)</f>
        <v/>
      </c>
    </row>
    <row r="348" customFormat="false" ht="15" hidden="false" customHeight="true" outlineLevel="0" collapsed="false">
      <c r="A348" s="30"/>
      <c r="C348" s="30"/>
      <c r="F348" s="9" t="str">
        <f aca="false">IF(C348="","",IFERROR(INDEX('Sub-principles'!$E$2:$E$11,MATCH(C348,'Sub-principles'!$A$2:$A$11,0)),""))</f>
        <v/>
      </c>
      <c r="G348" s="33" t="str">
        <f aca="false">IF(OR(D348="",F348=""),"",D348/5*F348)</f>
        <v/>
      </c>
    </row>
    <row r="349" customFormat="false" ht="15" hidden="false" customHeight="true" outlineLevel="0" collapsed="false">
      <c r="A349" s="30"/>
      <c r="C349" s="30"/>
      <c r="F349" s="9" t="str">
        <f aca="false">IF(C349="","",IFERROR(INDEX('Sub-principles'!$E$2:$E$11,MATCH(C349,'Sub-principles'!$A$2:$A$11,0)),""))</f>
        <v/>
      </c>
      <c r="G349" s="33" t="str">
        <f aca="false">IF(OR(D349="",F349=""),"",D349/5*F349)</f>
        <v/>
      </c>
    </row>
    <row r="350" customFormat="false" ht="15" hidden="false" customHeight="true" outlineLevel="0" collapsed="false">
      <c r="A350" s="30"/>
      <c r="C350" s="30"/>
      <c r="F350" s="9" t="str">
        <f aca="false">IF(C350="","",IFERROR(INDEX('Sub-principles'!$E$2:$E$11,MATCH(C350,'Sub-principles'!$A$2:$A$11,0)),""))</f>
        <v/>
      </c>
      <c r="G350" s="33" t="str">
        <f aca="false">IF(OR(D350="",F350=""),"",D350/5*F350)</f>
        <v/>
      </c>
    </row>
    <row r="351" customFormat="false" ht="15" hidden="false" customHeight="true" outlineLevel="0" collapsed="false">
      <c r="A351" s="30"/>
      <c r="C351" s="30"/>
      <c r="F351" s="9" t="str">
        <f aca="false">IF(C351="","",IFERROR(INDEX('Sub-principles'!$E$2:$E$11,MATCH(C351,'Sub-principles'!$A$2:$A$11,0)),""))</f>
        <v/>
      </c>
      <c r="G351" s="33" t="str">
        <f aca="false">IF(OR(D351="",F351=""),"",D351/5*F351)</f>
        <v/>
      </c>
    </row>
    <row r="352" customFormat="false" ht="15" hidden="false" customHeight="true" outlineLevel="0" collapsed="false">
      <c r="A352" s="30"/>
      <c r="C352" s="30"/>
      <c r="F352" s="9" t="str">
        <f aca="false">IF(C352="","",IFERROR(INDEX('Sub-principles'!$E$2:$E$11,MATCH(C352,'Sub-principles'!$A$2:$A$11,0)),""))</f>
        <v/>
      </c>
      <c r="G352" s="33" t="str">
        <f aca="false">IF(OR(D352="",F352=""),"",D352/5*F352)</f>
        <v/>
      </c>
    </row>
    <row r="353" customFormat="false" ht="15" hidden="false" customHeight="true" outlineLevel="0" collapsed="false">
      <c r="A353" s="30"/>
      <c r="C353" s="30"/>
      <c r="F353" s="9" t="str">
        <f aca="false">IF(C353="","",IFERROR(INDEX('Sub-principles'!$E$2:$E$11,MATCH(C353,'Sub-principles'!$A$2:$A$11,0)),""))</f>
        <v/>
      </c>
      <c r="G353" s="33" t="str">
        <f aca="false">IF(OR(D353="",F353=""),"",D353/5*F353)</f>
        <v/>
      </c>
    </row>
    <row r="354" customFormat="false" ht="15" hidden="false" customHeight="true" outlineLevel="0" collapsed="false">
      <c r="A354" s="30"/>
      <c r="C354" s="30"/>
      <c r="F354" s="9" t="str">
        <f aca="false">IF(C354="","",IFERROR(INDEX('Sub-principles'!$E$2:$E$11,MATCH(C354,'Sub-principles'!$A$2:$A$11,0)),""))</f>
        <v/>
      </c>
      <c r="G354" s="33" t="str">
        <f aca="false">IF(OR(D354="",F354=""),"",D354/5*F354)</f>
        <v/>
      </c>
    </row>
    <row r="355" customFormat="false" ht="15" hidden="false" customHeight="true" outlineLevel="0" collapsed="false">
      <c r="A355" s="30"/>
      <c r="C355" s="30"/>
      <c r="F355" s="9" t="str">
        <f aca="false">IF(C355="","",IFERROR(INDEX('Sub-principles'!$E$2:$E$11,MATCH(C355,'Sub-principles'!$A$2:$A$11,0)),""))</f>
        <v/>
      </c>
      <c r="G355" s="33" t="str">
        <f aca="false">IF(OR(D355="",F355=""),"",D355/5*F355)</f>
        <v/>
      </c>
    </row>
    <row r="356" customFormat="false" ht="15" hidden="false" customHeight="true" outlineLevel="0" collapsed="false">
      <c r="A356" s="30"/>
      <c r="C356" s="30"/>
      <c r="F356" s="9" t="str">
        <f aca="false">IF(C356="","",IFERROR(INDEX('Sub-principles'!$E$2:$E$11,MATCH(C356,'Sub-principles'!$A$2:$A$11,0)),""))</f>
        <v/>
      </c>
      <c r="G356" s="33" t="str">
        <f aca="false">IF(OR(D356="",F356=""),"",D356/5*F356)</f>
        <v/>
      </c>
    </row>
    <row r="357" customFormat="false" ht="15" hidden="false" customHeight="true" outlineLevel="0" collapsed="false">
      <c r="A357" s="30"/>
      <c r="C357" s="30"/>
      <c r="F357" s="9" t="str">
        <f aca="false">IF(C357="","",IFERROR(INDEX('Sub-principles'!$E$2:$E$11,MATCH(C357,'Sub-principles'!$A$2:$A$11,0)),""))</f>
        <v/>
      </c>
      <c r="G357" s="33" t="str">
        <f aca="false">IF(OR(D357="",F357=""),"",D357/5*F357)</f>
        <v/>
      </c>
    </row>
    <row r="358" customFormat="false" ht="15" hidden="false" customHeight="true" outlineLevel="0" collapsed="false">
      <c r="A358" s="30"/>
      <c r="C358" s="30"/>
      <c r="F358" s="9" t="str">
        <f aca="false">IF(C358="","",IFERROR(INDEX('Sub-principles'!$E$2:$E$11,MATCH(C358,'Sub-principles'!$A$2:$A$11,0)),""))</f>
        <v/>
      </c>
      <c r="G358" s="33" t="str">
        <f aca="false">IF(OR(D358="",F358=""),"",D358/5*F358)</f>
        <v/>
      </c>
    </row>
    <row r="359" customFormat="false" ht="15" hidden="false" customHeight="true" outlineLevel="0" collapsed="false">
      <c r="A359" s="30"/>
      <c r="C359" s="30"/>
      <c r="F359" s="9" t="str">
        <f aca="false">IF(C359="","",IFERROR(INDEX('Sub-principles'!$E$2:$E$11,MATCH(C359,'Sub-principles'!$A$2:$A$11,0)),""))</f>
        <v/>
      </c>
      <c r="G359" s="33" t="str">
        <f aca="false">IF(OR(D359="",F359=""),"",D359/5*F359)</f>
        <v/>
      </c>
    </row>
    <row r="360" customFormat="false" ht="15" hidden="false" customHeight="true" outlineLevel="0" collapsed="false">
      <c r="A360" s="30"/>
      <c r="C360" s="30"/>
      <c r="F360" s="9" t="str">
        <f aca="false">IF(C360="","",IFERROR(INDEX('Sub-principles'!$E$2:$E$11,MATCH(C360,'Sub-principles'!$A$2:$A$11,0)),""))</f>
        <v/>
      </c>
      <c r="G360" s="33" t="str">
        <f aca="false">IF(OR(D360="",F360=""),"",D360/5*F360)</f>
        <v/>
      </c>
    </row>
    <row r="361" customFormat="false" ht="15" hidden="false" customHeight="true" outlineLevel="0" collapsed="false">
      <c r="A361" s="30"/>
      <c r="C361" s="30"/>
      <c r="F361" s="9" t="str">
        <f aca="false">IF(C361="","",IFERROR(INDEX('Sub-principles'!$E$2:$E$11,MATCH(C361,'Sub-principles'!$A$2:$A$11,0)),""))</f>
        <v/>
      </c>
      <c r="G361" s="33" t="str">
        <f aca="false">IF(OR(D361="",F361=""),"",D361/5*F361)</f>
        <v/>
      </c>
    </row>
    <row r="362" customFormat="false" ht="15" hidden="false" customHeight="true" outlineLevel="0" collapsed="false">
      <c r="A362" s="30"/>
      <c r="C362" s="30"/>
      <c r="F362" s="9" t="str">
        <f aca="false">IF(C362="","",IFERROR(INDEX('Sub-principles'!$E$2:$E$11,MATCH(C362,'Sub-principles'!$A$2:$A$11,0)),""))</f>
        <v/>
      </c>
      <c r="G362" s="33" t="str">
        <f aca="false">IF(OR(D362="",F362=""),"",D362/5*F362)</f>
        <v/>
      </c>
    </row>
    <row r="363" customFormat="false" ht="15" hidden="false" customHeight="true" outlineLevel="0" collapsed="false">
      <c r="A363" s="30"/>
      <c r="C363" s="30"/>
      <c r="F363" s="9" t="str">
        <f aca="false">IF(C363="","",IFERROR(INDEX('Sub-principles'!$E$2:$E$11,MATCH(C363,'Sub-principles'!$A$2:$A$11,0)),""))</f>
        <v/>
      </c>
      <c r="G363" s="33" t="str">
        <f aca="false">IF(OR(D363="",F363=""),"",D363/5*F363)</f>
        <v/>
      </c>
    </row>
    <row r="364" customFormat="false" ht="15" hidden="false" customHeight="true" outlineLevel="0" collapsed="false">
      <c r="A364" s="30"/>
      <c r="C364" s="30"/>
      <c r="F364" s="9" t="str">
        <f aca="false">IF(C364="","",IFERROR(INDEX('Sub-principles'!$E$2:$E$11,MATCH(C364,'Sub-principles'!$A$2:$A$11,0)),""))</f>
        <v/>
      </c>
      <c r="G364" s="33" t="str">
        <f aca="false">IF(OR(D364="",F364=""),"",D364/5*F364)</f>
        <v/>
      </c>
    </row>
    <row r="365" customFormat="false" ht="15" hidden="false" customHeight="true" outlineLevel="0" collapsed="false">
      <c r="A365" s="30"/>
      <c r="C365" s="30"/>
      <c r="F365" s="9" t="str">
        <f aca="false">IF(C365="","",IFERROR(INDEX('Sub-principles'!$E$2:$E$11,MATCH(C365,'Sub-principles'!$A$2:$A$11,0)),""))</f>
        <v/>
      </c>
      <c r="G365" s="33" t="str">
        <f aca="false">IF(OR(D365="",F365=""),"",D365/5*F365)</f>
        <v/>
      </c>
    </row>
    <row r="366" customFormat="false" ht="15" hidden="false" customHeight="true" outlineLevel="0" collapsed="false">
      <c r="A366" s="30"/>
      <c r="C366" s="30"/>
      <c r="F366" s="9" t="str">
        <f aca="false">IF(C366="","",IFERROR(INDEX('Sub-principles'!$E$2:$E$11,MATCH(C366,'Sub-principles'!$A$2:$A$11,0)),""))</f>
        <v/>
      </c>
      <c r="G366" s="33" t="str">
        <f aca="false">IF(OR(D366="",F366=""),"",D366/5*F366)</f>
        <v/>
      </c>
    </row>
    <row r="367" customFormat="false" ht="15" hidden="false" customHeight="true" outlineLevel="0" collapsed="false">
      <c r="A367" s="30"/>
      <c r="C367" s="30"/>
      <c r="F367" s="9" t="str">
        <f aca="false">IF(C367="","",IFERROR(INDEX('Sub-principles'!$E$2:$E$11,MATCH(C367,'Sub-principles'!$A$2:$A$11,0)),""))</f>
        <v/>
      </c>
      <c r="G367" s="33" t="str">
        <f aca="false">IF(OR(D367="",F367=""),"",D367/5*F367)</f>
        <v/>
      </c>
    </row>
    <row r="368" customFormat="false" ht="15" hidden="false" customHeight="true" outlineLevel="0" collapsed="false">
      <c r="A368" s="30"/>
      <c r="C368" s="30"/>
      <c r="F368" s="9" t="str">
        <f aca="false">IF(C368="","",IFERROR(INDEX('Sub-principles'!$E$2:$E$11,MATCH(C368,'Sub-principles'!$A$2:$A$11,0)),""))</f>
        <v/>
      </c>
      <c r="G368" s="33" t="str">
        <f aca="false">IF(OR(D368="",F368=""),"",D368/5*F368)</f>
        <v/>
      </c>
    </row>
    <row r="369" customFormat="false" ht="15" hidden="false" customHeight="true" outlineLevel="0" collapsed="false">
      <c r="A369" s="30"/>
      <c r="C369" s="30"/>
      <c r="F369" s="9" t="str">
        <f aca="false">IF(C369="","",IFERROR(INDEX('Sub-principles'!$E$2:$E$11,MATCH(C369,'Sub-principles'!$A$2:$A$11,0)),""))</f>
        <v/>
      </c>
      <c r="G369" s="33" t="str">
        <f aca="false">IF(OR(D369="",F369=""),"",D369/5*F369)</f>
        <v/>
      </c>
    </row>
    <row r="370" customFormat="false" ht="15" hidden="false" customHeight="true" outlineLevel="0" collapsed="false">
      <c r="A370" s="30"/>
      <c r="C370" s="30"/>
      <c r="F370" s="9" t="str">
        <f aca="false">IF(C370="","",IFERROR(INDEX('Sub-principles'!$E$2:$E$11,MATCH(C370,'Sub-principles'!$A$2:$A$11,0)),""))</f>
        <v/>
      </c>
      <c r="G370" s="33" t="str">
        <f aca="false">IF(OR(D370="",F370=""),"",D370/5*F370)</f>
        <v/>
      </c>
    </row>
    <row r="371" customFormat="false" ht="15" hidden="false" customHeight="true" outlineLevel="0" collapsed="false">
      <c r="A371" s="30"/>
      <c r="C371" s="30"/>
      <c r="F371" s="9" t="str">
        <f aca="false">IF(C371="","",IFERROR(INDEX('Sub-principles'!$E$2:$E$11,MATCH(C371,'Sub-principles'!$A$2:$A$11,0)),""))</f>
        <v/>
      </c>
      <c r="G371" s="33" t="str">
        <f aca="false">IF(OR(D371="",F371=""),"",D371/5*F371)</f>
        <v/>
      </c>
    </row>
    <row r="372" customFormat="false" ht="15" hidden="false" customHeight="true" outlineLevel="0" collapsed="false">
      <c r="A372" s="30"/>
      <c r="C372" s="30"/>
      <c r="F372" s="9" t="str">
        <f aca="false">IF(C372="","",IFERROR(INDEX('Sub-principles'!$E$2:$E$11,MATCH(C372,'Sub-principles'!$A$2:$A$11,0)),""))</f>
        <v/>
      </c>
      <c r="G372" s="33" t="str">
        <f aca="false">IF(OR(D372="",F372=""),"",D372/5*F372)</f>
        <v/>
      </c>
    </row>
    <row r="373" customFormat="false" ht="15" hidden="false" customHeight="true" outlineLevel="0" collapsed="false">
      <c r="A373" s="30"/>
      <c r="C373" s="30"/>
      <c r="F373" s="9" t="str">
        <f aca="false">IF(C373="","",IFERROR(INDEX('Sub-principles'!$E$2:$E$11,MATCH(C373,'Sub-principles'!$A$2:$A$11,0)),""))</f>
        <v/>
      </c>
      <c r="G373" s="33" t="str">
        <f aca="false">IF(OR(D373="",F373=""),"",D373/5*F373)</f>
        <v/>
      </c>
    </row>
    <row r="374" customFormat="false" ht="15" hidden="false" customHeight="true" outlineLevel="0" collapsed="false">
      <c r="A374" s="30"/>
      <c r="C374" s="30"/>
      <c r="F374" s="9" t="str">
        <f aca="false">IF(C374="","",IFERROR(INDEX('Sub-principles'!$E$2:$E$11,MATCH(C374,'Sub-principles'!$A$2:$A$11,0)),""))</f>
        <v/>
      </c>
      <c r="G374" s="33" t="str">
        <f aca="false">IF(OR(D374="",F374=""),"",D374/5*F374)</f>
        <v/>
      </c>
    </row>
    <row r="375" customFormat="false" ht="15" hidden="false" customHeight="true" outlineLevel="0" collapsed="false">
      <c r="A375" s="30"/>
      <c r="C375" s="30"/>
      <c r="F375" s="9" t="str">
        <f aca="false">IF(C375="","",IFERROR(INDEX('Sub-principles'!$E$2:$E$11,MATCH(C375,'Sub-principles'!$A$2:$A$11,0)),""))</f>
        <v/>
      </c>
      <c r="G375" s="33" t="str">
        <f aca="false">IF(OR(D375="",F375=""),"",D375/5*F375)</f>
        <v/>
      </c>
    </row>
    <row r="376" customFormat="false" ht="15" hidden="false" customHeight="true" outlineLevel="0" collapsed="false">
      <c r="A376" s="30"/>
      <c r="C376" s="30"/>
      <c r="F376" s="9" t="str">
        <f aca="false">IF(C376="","",IFERROR(INDEX('Sub-principles'!$E$2:$E$11,MATCH(C376,'Sub-principles'!$A$2:$A$11,0)),""))</f>
        <v/>
      </c>
      <c r="G376" s="33" t="str">
        <f aca="false">IF(OR(D376="",F376=""),"",D376/5*F376)</f>
        <v/>
      </c>
    </row>
    <row r="377" customFormat="false" ht="15" hidden="false" customHeight="true" outlineLevel="0" collapsed="false">
      <c r="A377" s="30"/>
      <c r="C377" s="30"/>
      <c r="F377" s="9" t="str">
        <f aca="false">IF(C377="","",IFERROR(INDEX('Sub-principles'!$E$2:$E$11,MATCH(C377,'Sub-principles'!$A$2:$A$11,0)),""))</f>
        <v/>
      </c>
      <c r="G377" s="33" t="str">
        <f aca="false">IF(OR(D377="",F377=""),"",D377/5*F377)</f>
        <v/>
      </c>
    </row>
    <row r="378" customFormat="false" ht="15" hidden="false" customHeight="true" outlineLevel="0" collapsed="false">
      <c r="A378" s="30"/>
      <c r="C378" s="30"/>
      <c r="F378" s="9" t="str">
        <f aca="false">IF(C378="","",IFERROR(INDEX('Sub-principles'!$E$2:$E$11,MATCH(C378,'Sub-principles'!$A$2:$A$11,0)),""))</f>
        <v/>
      </c>
      <c r="G378" s="33" t="str">
        <f aca="false">IF(OR(D378="",F378=""),"",D378/5*F378)</f>
        <v/>
      </c>
    </row>
    <row r="379" customFormat="false" ht="15" hidden="false" customHeight="true" outlineLevel="0" collapsed="false">
      <c r="A379" s="30"/>
      <c r="C379" s="30"/>
      <c r="F379" s="9" t="str">
        <f aca="false">IF(C379="","",IFERROR(INDEX('Sub-principles'!$E$2:$E$11,MATCH(C379,'Sub-principles'!$A$2:$A$11,0)),""))</f>
        <v/>
      </c>
      <c r="G379" s="33" t="str">
        <f aca="false">IF(OR(D379="",F379=""),"",D379/5*F379)</f>
        <v/>
      </c>
    </row>
    <row r="380" customFormat="false" ht="15" hidden="false" customHeight="true" outlineLevel="0" collapsed="false">
      <c r="A380" s="30"/>
      <c r="C380" s="30"/>
      <c r="F380" s="9" t="str">
        <f aca="false">IF(C380="","",IFERROR(INDEX('Sub-principles'!$E$2:$E$11,MATCH(C380,'Sub-principles'!$A$2:$A$11,0)),""))</f>
        <v/>
      </c>
      <c r="G380" s="33" t="str">
        <f aca="false">IF(OR(D380="",F380=""),"",D380/5*F380)</f>
        <v/>
      </c>
    </row>
    <row r="381" customFormat="false" ht="15" hidden="false" customHeight="true" outlineLevel="0" collapsed="false">
      <c r="A381" s="30"/>
      <c r="C381" s="30"/>
      <c r="F381" s="9" t="str">
        <f aca="false">IF(C381="","",IFERROR(INDEX('Sub-principles'!$E$2:$E$11,MATCH(C381,'Sub-principles'!$A$2:$A$11,0)),""))</f>
        <v/>
      </c>
      <c r="G381" s="33" t="str">
        <f aca="false">IF(OR(D381="",F381=""),"",D381/5*F381)</f>
        <v/>
      </c>
    </row>
    <row r="382" customFormat="false" ht="15" hidden="false" customHeight="true" outlineLevel="0" collapsed="false">
      <c r="A382" s="30"/>
      <c r="C382" s="30"/>
      <c r="F382" s="9" t="str">
        <f aca="false">IF(C382="","",IFERROR(INDEX('Sub-principles'!$E$2:$E$11,MATCH(C382,'Sub-principles'!$A$2:$A$11,0)),""))</f>
        <v/>
      </c>
      <c r="G382" s="33" t="str">
        <f aca="false">IF(OR(D382="",F382=""),"",D382/5*F382)</f>
        <v/>
      </c>
    </row>
    <row r="383" customFormat="false" ht="15" hidden="false" customHeight="true" outlineLevel="0" collapsed="false">
      <c r="A383" s="30"/>
      <c r="C383" s="30"/>
      <c r="F383" s="9" t="str">
        <f aca="false">IF(C383="","",IFERROR(INDEX('Sub-principles'!$E$2:$E$11,MATCH(C383,'Sub-principles'!$A$2:$A$11,0)),""))</f>
        <v/>
      </c>
      <c r="G383" s="33" t="str">
        <f aca="false">IF(OR(D383="",F383=""),"",D383/5*F383)</f>
        <v/>
      </c>
    </row>
    <row r="384" customFormat="false" ht="15" hidden="false" customHeight="true" outlineLevel="0" collapsed="false">
      <c r="A384" s="30"/>
      <c r="C384" s="30"/>
      <c r="F384" s="9" t="str">
        <f aca="false">IF(C384="","",IFERROR(INDEX('Sub-principles'!$E$2:$E$11,MATCH(C384,'Sub-principles'!$A$2:$A$11,0)),""))</f>
        <v/>
      </c>
      <c r="G384" s="33" t="str">
        <f aca="false">IF(OR(D384="",F384=""),"",D384/5*F384)</f>
        <v/>
      </c>
    </row>
    <row r="385" customFormat="false" ht="15" hidden="false" customHeight="true" outlineLevel="0" collapsed="false">
      <c r="A385" s="30"/>
      <c r="C385" s="30"/>
      <c r="F385" s="9" t="str">
        <f aca="false">IF(C385="","",IFERROR(INDEX('Sub-principles'!$E$2:$E$11,MATCH(C385,'Sub-principles'!$A$2:$A$11,0)),""))</f>
        <v/>
      </c>
      <c r="G385" s="33" t="str">
        <f aca="false">IF(OR(D385="",F385=""),"",D385/5*F385)</f>
        <v/>
      </c>
    </row>
    <row r="386" customFormat="false" ht="15" hidden="false" customHeight="true" outlineLevel="0" collapsed="false">
      <c r="A386" s="30"/>
      <c r="C386" s="30"/>
      <c r="F386" s="9" t="str">
        <f aca="false">IF(C386="","",IFERROR(INDEX('Sub-principles'!$E$2:$E$11,MATCH(C386,'Sub-principles'!$A$2:$A$11,0)),""))</f>
        <v/>
      </c>
      <c r="G386" s="33" t="str">
        <f aca="false">IF(OR(D386="",F386=""),"",D386/5*F386)</f>
        <v/>
      </c>
    </row>
    <row r="387" customFormat="false" ht="15" hidden="false" customHeight="true" outlineLevel="0" collapsed="false">
      <c r="A387" s="30"/>
      <c r="C387" s="30"/>
      <c r="F387" s="9" t="str">
        <f aca="false">IF(C387="","",IFERROR(INDEX('Sub-principles'!$E$2:$E$11,MATCH(C387,'Sub-principles'!$A$2:$A$11,0)),""))</f>
        <v/>
      </c>
      <c r="G387" s="33" t="str">
        <f aca="false">IF(OR(D387="",F387=""),"",D387/5*F387)</f>
        <v/>
      </c>
    </row>
    <row r="388" customFormat="false" ht="15" hidden="false" customHeight="true" outlineLevel="0" collapsed="false">
      <c r="A388" s="30"/>
      <c r="C388" s="30"/>
      <c r="F388" s="9" t="str">
        <f aca="false">IF(C388="","",IFERROR(INDEX('Sub-principles'!$E$2:$E$11,MATCH(C388,'Sub-principles'!$A$2:$A$11,0)),""))</f>
        <v/>
      </c>
      <c r="G388" s="33" t="str">
        <f aca="false">IF(OR(D388="",F388=""),"",D388/5*F388)</f>
        <v/>
      </c>
    </row>
    <row r="389" customFormat="false" ht="15" hidden="false" customHeight="true" outlineLevel="0" collapsed="false">
      <c r="A389" s="30"/>
      <c r="C389" s="30"/>
      <c r="F389" s="9" t="str">
        <f aca="false">IF(C389="","",IFERROR(INDEX('Sub-principles'!$E$2:$E$11,MATCH(C389,'Sub-principles'!$A$2:$A$11,0)),""))</f>
        <v/>
      </c>
      <c r="G389" s="33" t="str">
        <f aca="false">IF(OR(D389="",F389=""),"",D389/5*F389)</f>
        <v/>
      </c>
    </row>
    <row r="390" customFormat="false" ht="15" hidden="false" customHeight="true" outlineLevel="0" collapsed="false">
      <c r="A390" s="30"/>
      <c r="C390" s="30"/>
      <c r="F390" s="9" t="str">
        <f aca="false">IF(C390="","",IFERROR(INDEX('Sub-principles'!$E$2:$E$11,MATCH(C390,'Sub-principles'!$A$2:$A$11,0)),""))</f>
        <v/>
      </c>
      <c r="G390" s="33" t="str">
        <f aca="false">IF(OR(D390="",F390=""),"",D390/5*F390)</f>
        <v/>
      </c>
    </row>
    <row r="391" customFormat="false" ht="15" hidden="false" customHeight="true" outlineLevel="0" collapsed="false">
      <c r="A391" s="30"/>
      <c r="C391" s="30"/>
      <c r="F391" s="9" t="str">
        <f aca="false">IF(C391="","",IFERROR(INDEX('Sub-principles'!$E$2:$E$11,MATCH(C391,'Sub-principles'!$A$2:$A$11,0)),""))</f>
        <v/>
      </c>
      <c r="G391" s="33" t="str">
        <f aca="false">IF(OR(D391="",F391=""),"",D391/5*F391)</f>
        <v/>
      </c>
    </row>
    <row r="392" customFormat="false" ht="15" hidden="false" customHeight="true" outlineLevel="0" collapsed="false">
      <c r="A392" s="30"/>
      <c r="C392" s="30"/>
      <c r="F392" s="9" t="str">
        <f aca="false">IF(C392="","",IFERROR(INDEX('Sub-principles'!$E$2:$E$11,MATCH(C392,'Sub-principles'!$A$2:$A$11,0)),""))</f>
        <v/>
      </c>
      <c r="G392" s="33" t="str">
        <f aca="false">IF(OR(D392="",F392=""),"",D392/5*F392)</f>
        <v/>
      </c>
    </row>
    <row r="393" customFormat="false" ht="15" hidden="false" customHeight="true" outlineLevel="0" collapsed="false">
      <c r="A393" s="30"/>
      <c r="C393" s="30"/>
      <c r="F393" s="9" t="str">
        <f aca="false">IF(C393="","",IFERROR(INDEX('Sub-principles'!$E$2:$E$11,MATCH(C393,'Sub-principles'!$A$2:$A$11,0)),""))</f>
        <v/>
      </c>
      <c r="G393" s="33" t="str">
        <f aca="false">IF(OR(D393="",F393=""),"",D393/5*F393)</f>
        <v/>
      </c>
    </row>
    <row r="394" customFormat="false" ht="15" hidden="false" customHeight="true" outlineLevel="0" collapsed="false">
      <c r="A394" s="30"/>
      <c r="C394" s="30"/>
      <c r="F394" s="9" t="str">
        <f aca="false">IF(C394="","",IFERROR(INDEX('Sub-principles'!$E$2:$E$11,MATCH(C394,'Sub-principles'!$A$2:$A$11,0)),""))</f>
        <v/>
      </c>
      <c r="G394" s="33" t="str">
        <f aca="false">IF(OR(D394="",F394=""),"",D394/5*F394)</f>
        <v/>
      </c>
    </row>
    <row r="395" customFormat="false" ht="15" hidden="false" customHeight="true" outlineLevel="0" collapsed="false">
      <c r="A395" s="30"/>
      <c r="C395" s="30"/>
      <c r="F395" s="9" t="str">
        <f aca="false">IF(C395="","",IFERROR(INDEX('Sub-principles'!$E$2:$E$11,MATCH(C395,'Sub-principles'!$A$2:$A$11,0)),""))</f>
        <v/>
      </c>
      <c r="G395" s="33" t="str">
        <f aca="false">IF(OR(D395="",F395=""),"",D395/5*F395)</f>
        <v/>
      </c>
    </row>
    <row r="396" customFormat="false" ht="15" hidden="false" customHeight="true" outlineLevel="0" collapsed="false">
      <c r="A396" s="30"/>
      <c r="C396" s="30"/>
      <c r="F396" s="9" t="str">
        <f aca="false">IF(C396="","",IFERROR(INDEX('Sub-principles'!$E$2:$E$11,MATCH(C396,'Sub-principles'!$A$2:$A$11,0)),""))</f>
        <v/>
      </c>
      <c r="G396" s="33" t="str">
        <f aca="false">IF(OR(D396="",F396=""),"",D396/5*F396)</f>
        <v/>
      </c>
    </row>
    <row r="397" customFormat="false" ht="15" hidden="false" customHeight="true" outlineLevel="0" collapsed="false">
      <c r="A397" s="30"/>
      <c r="C397" s="30"/>
      <c r="F397" s="9" t="str">
        <f aca="false">IF(C397="","",IFERROR(INDEX('Sub-principles'!$E$2:$E$11,MATCH(C397,'Sub-principles'!$A$2:$A$11,0)),""))</f>
        <v/>
      </c>
      <c r="G397" s="33" t="str">
        <f aca="false">IF(OR(D397="",F397=""),"",D397/5*F397)</f>
        <v/>
      </c>
    </row>
    <row r="398" customFormat="false" ht="15" hidden="false" customHeight="true" outlineLevel="0" collapsed="false">
      <c r="A398" s="30"/>
      <c r="C398" s="30"/>
      <c r="F398" s="9" t="str">
        <f aca="false">IF(C398="","",IFERROR(INDEX('Sub-principles'!$E$2:$E$11,MATCH(C398,'Sub-principles'!$A$2:$A$11,0)),""))</f>
        <v/>
      </c>
      <c r="G398" s="33" t="str">
        <f aca="false">IF(OR(D398="",F398=""),"",D398/5*F398)</f>
        <v/>
      </c>
    </row>
    <row r="399" customFormat="false" ht="15" hidden="false" customHeight="true" outlineLevel="0" collapsed="false">
      <c r="A399" s="30"/>
      <c r="C399" s="30"/>
      <c r="F399" s="9" t="str">
        <f aca="false">IF(C399="","",IFERROR(INDEX('Sub-principles'!$E$2:$E$11,MATCH(C399,'Sub-principles'!$A$2:$A$11,0)),""))</f>
        <v/>
      </c>
      <c r="G399" s="33" t="str">
        <f aca="false">IF(OR(D399="",F399=""),"",D399/5*F399)</f>
        <v/>
      </c>
    </row>
    <row r="400" customFormat="false" ht="15" hidden="false" customHeight="true" outlineLevel="0" collapsed="false">
      <c r="A400" s="30"/>
      <c r="C400" s="30"/>
      <c r="F400" s="9" t="str">
        <f aca="false">IF(C400="","",IFERROR(INDEX('Sub-principles'!$E$2:$E$11,MATCH(C400,'Sub-principles'!$A$2:$A$11,0)),""))</f>
        <v/>
      </c>
      <c r="G400" s="33" t="str">
        <f aca="false">IF(OR(D400="",F400=""),"",D400/5*F400)</f>
        <v/>
      </c>
    </row>
    <row r="401" customFormat="false" ht="15" hidden="false" customHeight="true" outlineLevel="0" collapsed="false">
      <c r="A401" s="30"/>
      <c r="C401" s="30"/>
      <c r="F401" s="9" t="str">
        <f aca="false">IF(C401="","",IFERROR(INDEX('Sub-principles'!$E$2:$E$11,MATCH(C401,'Sub-principles'!$A$2:$A$11,0)),""))</f>
        <v/>
      </c>
      <c r="G401" s="33" t="str">
        <f aca="false">IF(OR(D401="",F401=""),"",D401/5*F401)</f>
        <v/>
      </c>
    </row>
    <row r="402" customFormat="false" ht="15" hidden="false" customHeight="true" outlineLevel="0" collapsed="false">
      <c r="A402" s="30"/>
      <c r="C402" s="30"/>
      <c r="F402" s="9" t="str">
        <f aca="false">IF(C402="","",IFERROR(INDEX('Sub-principles'!$E$2:$E$11,MATCH(C402,'Sub-principles'!$A$2:$A$11,0)),""))</f>
        <v/>
      </c>
      <c r="G402" s="33" t="str">
        <f aca="false">IF(OR(D402="",F402=""),"",D402/5*F402)</f>
        <v/>
      </c>
    </row>
    <row r="403" customFormat="false" ht="15" hidden="false" customHeight="true" outlineLevel="0" collapsed="false">
      <c r="A403" s="30"/>
      <c r="C403" s="30"/>
      <c r="F403" s="9" t="str">
        <f aca="false">IF(C403="","",IFERROR(INDEX('Sub-principles'!$E$2:$E$11,MATCH(C403,'Sub-principles'!$A$2:$A$11,0)),""))</f>
        <v/>
      </c>
      <c r="G403" s="33" t="str">
        <f aca="false">IF(OR(D403="",F403=""),"",D403/5*F403)</f>
        <v/>
      </c>
    </row>
    <row r="404" customFormat="false" ht="15" hidden="false" customHeight="true" outlineLevel="0" collapsed="false">
      <c r="A404" s="30"/>
      <c r="C404" s="30"/>
      <c r="F404" s="9" t="str">
        <f aca="false">IF(C404="","",IFERROR(INDEX('Sub-principles'!$E$2:$E$11,MATCH(C404,'Sub-principles'!$A$2:$A$11,0)),""))</f>
        <v/>
      </c>
      <c r="G404" s="33" t="str">
        <f aca="false">IF(OR(D404="",F404=""),"",D404/5*F404)</f>
        <v/>
      </c>
    </row>
    <row r="405" customFormat="false" ht="15" hidden="false" customHeight="true" outlineLevel="0" collapsed="false">
      <c r="A405" s="30"/>
      <c r="C405" s="30"/>
      <c r="F405" s="9" t="str">
        <f aca="false">IF(C405="","",IFERROR(INDEX('Sub-principles'!$E$2:$E$11,MATCH(C405,'Sub-principles'!$A$2:$A$11,0)),""))</f>
        <v/>
      </c>
      <c r="G405" s="33" t="str">
        <f aca="false">IF(OR(D405="",F405=""),"",D405/5*F405)</f>
        <v/>
      </c>
    </row>
    <row r="406" customFormat="false" ht="15" hidden="false" customHeight="true" outlineLevel="0" collapsed="false">
      <c r="A406" s="30"/>
      <c r="C406" s="30"/>
      <c r="F406" s="9" t="str">
        <f aca="false">IF(C406="","",IFERROR(INDEX('Sub-principles'!$E$2:$E$11,MATCH(C406,'Sub-principles'!$A$2:$A$11,0)),""))</f>
        <v/>
      </c>
      <c r="G406" s="33" t="str">
        <f aca="false">IF(OR(D406="",F406=""),"",D406/5*F406)</f>
        <v/>
      </c>
    </row>
    <row r="407" customFormat="false" ht="15" hidden="false" customHeight="true" outlineLevel="0" collapsed="false">
      <c r="A407" s="30"/>
      <c r="C407" s="30"/>
      <c r="F407" s="9" t="str">
        <f aca="false">IF(C407="","",IFERROR(INDEX('Sub-principles'!$E$2:$E$11,MATCH(C407,'Sub-principles'!$A$2:$A$11,0)),""))</f>
        <v/>
      </c>
      <c r="G407" s="33" t="str">
        <f aca="false">IF(OR(D407="",F407=""),"",D407/5*F407)</f>
        <v/>
      </c>
    </row>
    <row r="408" customFormat="false" ht="15" hidden="false" customHeight="true" outlineLevel="0" collapsed="false">
      <c r="A408" s="30"/>
      <c r="C408" s="30"/>
      <c r="F408" s="9" t="str">
        <f aca="false">IF(C408="","",IFERROR(INDEX('Sub-principles'!$E$2:$E$11,MATCH(C408,'Sub-principles'!$A$2:$A$11,0)),""))</f>
        <v/>
      </c>
      <c r="G408" s="33" t="str">
        <f aca="false">IF(OR(D408="",F408=""),"",D408/5*F408)</f>
        <v/>
      </c>
    </row>
    <row r="409" customFormat="false" ht="15" hidden="false" customHeight="true" outlineLevel="0" collapsed="false">
      <c r="A409" s="30"/>
      <c r="C409" s="30"/>
      <c r="F409" s="9" t="str">
        <f aca="false">IF(C409="","",IFERROR(INDEX('Sub-principles'!$E$2:$E$11,MATCH(C409,'Sub-principles'!$A$2:$A$11,0)),""))</f>
        <v/>
      </c>
      <c r="G409" s="33" t="str">
        <f aca="false">IF(OR(D409="",F409=""),"",D409/5*F409)</f>
        <v/>
      </c>
    </row>
    <row r="410" customFormat="false" ht="15" hidden="false" customHeight="true" outlineLevel="0" collapsed="false">
      <c r="A410" s="30"/>
      <c r="C410" s="30"/>
      <c r="F410" s="9" t="str">
        <f aca="false">IF(C410="","",IFERROR(INDEX('Sub-principles'!$E$2:$E$11,MATCH(C410,'Sub-principles'!$A$2:$A$11,0)),""))</f>
        <v/>
      </c>
      <c r="G410" s="33" t="str">
        <f aca="false">IF(OR(D410="",F410=""),"",D410/5*F410)</f>
        <v/>
      </c>
    </row>
    <row r="411" customFormat="false" ht="15" hidden="false" customHeight="true" outlineLevel="0" collapsed="false">
      <c r="A411" s="30"/>
      <c r="C411" s="30"/>
      <c r="F411" s="9" t="str">
        <f aca="false">IF(C411="","",IFERROR(INDEX('Sub-principles'!$E$2:$E$11,MATCH(C411,'Sub-principles'!$A$2:$A$11,0)),""))</f>
        <v/>
      </c>
      <c r="G411" s="33" t="str">
        <f aca="false">IF(OR(D411="",F411=""),"",D411/5*F411)</f>
        <v/>
      </c>
    </row>
    <row r="412" customFormat="false" ht="15" hidden="false" customHeight="true" outlineLevel="0" collapsed="false">
      <c r="A412" s="30"/>
      <c r="C412" s="30"/>
      <c r="F412" s="9" t="str">
        <f aca="false">IF(C412="","",IFERROR(INDEX('Sub-principles'!$E$2:$E$11,MATCH(C412,'Sub-principles'!$A$2:$A$11,0)),""))</f>
        <v/>
      </c>
      <c r="G412" s="33" t="str">
        <f aca="false">IF(OR(D412="",F412=""),"",D412/5*F412)</f>
        <v/>
      </c>
    </row>
    <row r="413" customFormat="false" ht="15" hidden="false" customHeight="true" outlineLevel="0" collapsed="false">
      <c r="A413" s="30"/>
      <c r="C413" s="30"/>
      <c r="F413" s="9" t="str">
        <f aca="false">IF(C413="","",IFERROR(INDEX('Sub-principles'!$E$2:$E$11,MATCH(C413,'Sub-principles'!$A$2:$A$11,0)),""))</f>
        <v/>
      </c>
      <c r="G413" s="33" t="str">
        <f aca="false">IF(OR(D413="",F413=""),"",D413/5*F413)</f>
        <v/>
      </c>
    </row>
    <row r="414" customFormat="false" ht="15" hidden="false" customHeight="true" outlineLevel="0" collapsed="false">
      <c r="A414" s="30"/>
      <c r="C414" s="30"/>
      <c r="F414" s="9" t="str">
        <f aca="false">IF(C414="","",IFERROR(INDEX('Sub-principles'!$E$2:$E$11,MATCH(C414,'Sub-principles'!$A$2:$A$11,0)),""))</f>
        <v/>
      </c>
      <c r="G414" s="33" t="str">
        <f aca="false">IF(OR(D414="",F414=""),"",D414/5*F414)</f>
        <v/>
      </c>
    </row>
    <row r="415" customFormat="false" ht="15" hidden="false" customHeight="true" outlineLevel="0" collapsed="false">
      <c r="A415" s="30"/>
      <c r="C415" s="30"/>
      <c r="F415" s="9" t="str">
        <f aca="false">IF(C415="","",IFERROR(INDEX('Sub-principles'!$E$2:$E$11,MATCH(C415,'Sub-principles'!$A$2:$A$11,0)),""))</f>
        <v/>
      </c>
      <c r="G415" s="33" t="str">
        <f aca="false">IF(OR(D415="",F415=""),"",D415/5*F415)</f>
        <v/>
      </c>
    </row>
    <row r="416" customFormat="false" ht="15" hidden="false" customHeight="true" outlineLevel="0" collapsed="false">
      <c r="A416" s="30"/>
      <c r="C416" s="30"/>
      <c r="F416" s="9" t="str">
        <f aca="false">IF(C416="","",IFERROR(INDEX('Sub-principles'!$E$2:$E$11,MATCH(C416,'Sub-principles'!$A$2:$A$11,0)),""))</f>
        <v/>
      </c>
      <c r="G416" s="33" t="str">
        <f aca="false">IF(OR(D416="",F416=""),"",D416/5*F416)</f>
        <v/>
      </c>
    </row>
    <row r="417" customFormat="false" ht="15" hidden="false" customHeight="true" outlineLevel="0" collapsed="false">
      <c r="A417" s="30"/>
      <c r="C417" s="30"/>
      <c r="F417" s="9" t="str">
        <f aca="false">IF(C417="","",IFERROR(INDEX('Sub-principles'!$E$2:$E$11,MATCH(C417,'Sub-principles'!$A$2:$A$11,0)),""))</f>
        <v/>
      </c>
      <c r="G417" s="33" t="str">
        <f aca="false">IF(OR(D417="",F417=""),"",D417/5*F417)</f>
        <v/>
      </c>
    </row>
    <row r="418" customFormat="false" ht="15" hidden="false" customHeight="true" outlineLevel="0" collapsed="false">
      <c r="A418" s="30"/>
      <c r="C418" s="30"/>
      <c r="F418" s="9" t="str">
        <f aca="false">IF(C418="","",IFERROR(INDEX('Sub-principles'!$E$2:$E$11,MATCH(C418,'Sub-principles'!$A$2:$A$11,0)),""))</f>
        <v/>
      </c>
      <c r="G418" s="33" t="str">
        <f aca="false">IF(OR(D418="",F418=""),"",D418/5*F418)</f>
        <v/>
      </c>
    </row>
    <row r="419" customFormat="false" ht="15" hidden="false" customHeight="true" outlineLevel="0" collapsed="false">
      <c r="A419" s="30"/>
      <c r="C419" s="30"/>
      <c r="F419" s="9" t="str">
        <f aca="false">IF(C419="","",IFERROR(INDEX('Sub-principles'!$E$2:$E$11,MATCH(C419,'Sub-principles'!$A$2:$A$11,0)),""))</f>
        <v/>
      </c>
      <c r="G419" s="33" t="str">
        <f aca="false">IF(OR(D419="",F419=""),"",D419/5*F419)</f>
        <v/>
      </c>
    </row>
    <row r="420" customFormat="false" ht="15" hidden="false" customHeight="true" outlineLevel="0" collapsed="false">
      <c r="A420" s="30"/>
      <c r="C420" s="30"/>
      <c r="F420" s="9" t="str">
        <f aca="false">IF(C420="","",IFERROR(INDEX('Sub-principles'!$E$2:$E$11,MATCH(C420,'Sub-principles'!$A$2:$A$11,0)),""))</f>
        <v/>
      </c>
      <c r="G420" s="33" t="str">
        <f aca="false">IF(OR(D420="",F420=""),"",D420/5*F420)</f>
        <v/>
      </c>
    </row>
    <row r="421" customFormat="false" ht="15" hidden="false" customHeight="true" outlineLevel="0" collapsed="false">
      <c r="A421" s="30"/>
      <c r="C421" s="30"/>
      <c r="F421" s="9" t="str">
        <f aca="false">IF(C421="","",IFERROR(INDEX('Sub-principles'!$E$2:$E$11,MATCH(C421,'Sub-principles'!$A$2:$A$11,0)),""))</f>
        <v/>
      </c>
      <c r="G421" s="33" t="str">
        <f aca="false">IF(OR(D421="",F421=""),"",D421/5*F421)</f>
        <v/>
      </c>
    </row>
    <row r="422" customFormat="false" ht="15" hidden="false" customHeight="true" outlineLevel="0" collapsed="false">
      <c r="A422" s="30"/>
      <c r="C422" s="30"/>
      <c r="F422" s="9" t="str">
        <f aca="false">IF(C422="","",IFERROR(INDEX('Sub-principles'!$E$2:$E$11,MATCH(C422,'Sub-principles'!$A$2:$A$11,0)),""))</f>
        <v/>
      </c>
      <c r="G422" s="33" t="str">
        <f aca="false">IF(OR(D422="",F422=""),"",D422/5*F422)</f>
        <v/>
      </c>
    </row>
    <row r="423" customFormat="false" ht="15" hidden="false" customHeight="true" outlineLevel="0" collapsed="false">
      <c r="A423" s="30"/>
      <c r="C423" s="30"/>
      <c r="F423" s="9" t="str">
        <f aca="false">IF(C423="","",IFERROR(INDEX('Sub-principles'!$E$2:$E$11,MATCH(C423,'Sub-principles'!$A$2:$A$11,0)),""))</f>
        <v/>
      </c>
      <c r="G423" s="33" t="str">
        <f aca="false">IF(OR(D423="",F423=""),"",D423/5*F423)</f>
        <v/>
      </c>
    </row>
    <row r="424" customFormat="false" ht="15" hidden="false" customHeight="true" outlineLevel="0" collapsed="false">
      <c r="A424" s="30"/>
      <c r="C424" s="30"/>
      <c r="F424" s="9" t="str">
        <f aca="false">IF(C424="","",IFERROR(INDEX('Sub-principles'!$E$2:$E$11,MATCH(C424,'Sub-principles'!$A$2:$A$11,0)),""))</f>
        <v/>
      </c>
      <c r="G424" s="33" t="str">
        <f aca="false">IF(OR(D424="",F424=""),"",D424/5*F424)</f>
        <v/>
      </c>
    </row>
    <row r="425" customFormat="false" ht="15" hidden="false" customHeight="true" outlineLevel="0" collapsed="false">
      <c r="A425" s="30"/>
      <c r="C425" s="30"/>
      <c r="F425" s="9" t="str">
        <f aca="false">IF(C425="","",IFERROR(INDEX('Sub-principles'!$E$2:$E$11,MATCH(C425,'Sub-principles'!$A$2:$A$11,0)),""))</f>
        <v/>
      </c>
      <c r="G425" s="33" t="str">
        <f aca="false">IF(OR(D425="",F425=""),"",D425/5*F425)</f>
        <v/>
      </c>
    </row>
    <row r="426" customFormat="false" ht="15" hidden="false" customHeight="true" outlineLevel="0" collapsed="false">
      <c r="A426" s="30"/>
      <c r="C426" s="30"/>
      <c r="F426" s="9" t="str">
        <f aca="false">IF(C426="","",IFERROR(INDEX('Sub-principles'!$E$2:$E$11,MATCH(C426,'Sub-principles'!$A$2:$A$11,0)),""))</f>
        <v/>
      </c>
      <c r="G426" s="33" t="str">
        <f aca="false">IF(OR(D426="",F426=""),"",D426/5*F426)</f>
        <v/>
      </c>
    </row>
    <row r="427" customFormat="false" ht="15" hidden="false" customHeight="true" outlineLevel="0" collapsed="false">
      <c r="A427" s="30"/>
      <c r="C427" s="30"/>
      <c r="F427" s="9" t="str">
        <f aca="false">IF(C427="","",IFERROR(INDEX('Sub-principles'!$E$2:$E$11,MATCH(C427,'Sub-principles'!$A$2:$A$11,0)),""))</f>
        <v/>
      </c>
      <c r="G427" s="33" t="str">
        <f aca="false">IF(OR(D427="",F427=""),"",D427/5*F427)</f>
        <v/>
      </c>
    </row>
    <row r="428" customFormat="false" ht="15" hidden="false" customHeight="true" outlineLevel="0" collapsed="false">
      <c r="A428" s="30"/>
      <c r="C428" s="30"/>
      <c r="F428" s="9" t="str">
        <f aca="false">IF(C428="","",IFERROR(INDEX('Sub-principles'!$E$2:$E$11,MATCH(C428,'Sub-principles'!$A$2:$A$11,0)),""))</f>
        <v/>
      </c>
      <c r="G428" s="33" t="str">
        <f aca="false">IF(OR(D428="",F428=""),"",D428/5*F428)</f>
        <v/>
      </c>
    </row>
    <row r="429" customFormat="false" ht="15" hidden="false" customHeight="true" outlineLevel="0" collapsed="false">
      <c r="A429" s="30"/>
      <c r="C429" s="30"/>
      <c r="F429" s="9" t="str">
        <f aca="false">IF(C429="","",IFERROR(INDEX('Sub-principles'!$E$2:$E$11,MATCH(C429,'Sub-principles'!$A$2:$A$11,0)),""))</f>
        <v/>
      </c>
      <c r="G429" s="33" t="str">
        <f aca="false">IF(OR(D429="",F429=""),"",D429/5*F429)</f>
        <v/>
      </c>
    </row>
    <row r="430" customFormat="false" ht="15" hidden="false" customHeight="true" outlineLevel="0" collapsed="false">
      <c r="A430" s="30"/>
      <c r="C430" s="30"/>
      <c r="F430" s="9" t="str">
        <f aca="false">IF(C430="","",IFERROR(INDEX('Sub-principles'!$E$2:$E$11,MATCH(C430,'Sub-principles'!$A$2:$A$11,0)),""))</f>
        <v/>
      </c>
      <c r="G430" s="33" t="str">
        <f aca="false">IF(OR(D430="",F430=""),"",D430/5*F430)</f>
        <v/>
      </c>
    </row>
    <row r="431" customFormat="false" ht="15" hidden="false" customHeight="true" outlineLevel="0" collapsed="false">
      <c r="A431" s="30"/>
      <c r="C431" s="30"/>
      <c r="F431" s="9" t="str">
        <f aca="false">IF(C431="","",IFERROR(INDEX('Sub-principles'!$E$2:$E$11,MATCH(C431,'Sub-principles'!$A$2:$A$11,0)),""))</f>
        <v/>
      </c>
      <c r="G431" s="33" t="str">
        <f aca="false">IF(OR(D431="",F431=""),"",D431/5*F431)</f>
        <v/>
      </c>
    </row>
    <row r="432" customFormat="false" ht="15" hidden="false" customHeight="true" outlineLevel="0" collapsed="false">
      <c r="A432" s="30"/>
      <c r="C432" s="30"/>
      <c r="F432" s="9" t="str">
        <f aca="false">IF(C432="","",IFERROR(INDEX('Sub-principles'!$E$2:$E$11,MATCH(C432,'Sub-principles'!$A$2:$A$11,0)),""))</f>
        <v/>
      </c>
      <c r="G432" s="33" t="str">
        <f aca="false">IF(OR(D432="",F432=""),"",D432/5*F432)</f>
        <v/>
      </c>
    </row>
    <row r="433" customFormat="false" ht="15" hidden="false" customHeight="true" outlineLevel="0" collapsed="false">
      <c r="A433" s="30"/>
      <c r="C433" s="30"/>
      <c r="F433" s="9" t="str">
        <f aca="false">IF(C433="","",IFERROR(INDEX('Sub-principles'!$E$2:$E$11,MATCH(C433,'Sub-principles'!$A$2:$A$11,0)),""))</f>
        <v/>
      </c>
      <c r="G433" s="33" t="str">
        <f aca="false">IF(OR(D433="",F433=""),"",D433/5*F433)</f>
        <v/>
      </c>
    </row>
    <row r="434" customFormat="false" ht="15" hidden="false" customHeight="true" outlineLevel="0" collapsed="false">
      <c r="A434" s="30"/>
      <c r="C434" s="30"/>
      <c r="F434" s="9" t="str">
        <f aca="false">IF(C434="","",IFERROR(INDEX('Sub-principles'!$E$2:$E$11,MATCH(C434,'Sub-principles'!$A$2:$A$11,0)),""))</f>
        <v/>
      </c>
      <c r="G434" s="33" t="str">
        <f aca="false">IF(OR(D434="",F434=""),"",D434/5*F434)</f>
        <v/>
      </c>
    </row>
    <row r="435" customFormat="false" ht="15" hidden="false" customHeight="true" outlineLevel="0" collapsed="false">
      <c r="A435" s="30"/>
      <c r="C435" s="30"/>
      <c r="F435" s="9" t="str">
        <f aca="false">IF(C435="","",IFERROR(INDEX('Sub-principles'!$E$2:$E$11,MATCH(C435,'Sub-principles'!$A$2:$A$11,0)),""))</f>
        <v/>
      </c>
      <c r="G435" s="33" t="str">
        <f aca="false">IF(OR(D435="",F435=""),"",D435/5*F435)</f>
        <v/>
      </c>
    </row>
    <row r="436" customFormat="false" ht="15" hidden="false" customHeight="true" outlineLevel="0" collapsed="false">
      <c r="A436" s="30"/>
      <c r="C436" s="30"/>
      <c r="F436" s="9" t="str">
        <f aca="false">IF(C436="","",IFERROR(INDEX('Sub-principles'!$E$2:$E$11,MATCH(C436,'Sub-principles'!$A$2:$A$11,0)),""))</f>
        <v/>
      </c>
      <c r="G436" s="33" t="str">
        <f aca="false">IF(OR(D436="",F436=""),"",D436/5*F436)</f>
        <v/>
      </c>
    </row>
    <row r="437" customFormat="false" ht="15" hidden="false" customHeight="true" outlineLevel="0" collapsed="false">
      <c r="A437" s="30"/>
      <c r="C437" s="30"/>
      <c r="F437" s="9" t="str">
        <f aca="false">IF(C437="","",IFERROR(INDEX('Sub-principles'!$E$2:$E$11,MATCH(C437,'Sub-principles'!$A$2:$A$11,0)),""))</f>
        <v/>
      </c>
      <c r="G437" s="33" t="str">
        <f aca="false">IF(OR(D437="",F437=""),"",D437/5*F437)</f>
        <v/>
      </c>
    </row>
    <row r="438" customFormat="false" ht="15" hidden="false" customHeight="true" outlineLevel="0" collapsed="false">
      <c r="A438" s="30"/>
      <c r="C438" s="30"/>
      <c r="F438" s="9" t="str">
        <f aca="false">IF(C438="","",IFERROR(INDEX('Sub-principles'!$E$2:$E$11,MATCH(C438,'Sub-principles'!$A$2:$A$11,0)),""))</f>
        <v/>
      </c>
      <c r="G438" s="33" t="str">
        <f aca="false">IF(OR(D438="",F438=""),"",D438/5*F438)</f>
        <v/>
      </c>
    </row>
    <row r="439" customFormat="false" ht="15" hidden="false" customHeight="true" outlineLevel="0" collapsed="false">
      <c r="A439" s="30"/>
      <c r="C439" s="30"/>
      <c r="F439" s="9" t="str">
        <f aca="false">IF(C439="","",IFERROR(INDEX('Sub-principles'!$E$2:$E$11,MATCH(C439,'Sub-principles'!$A$2:$A$11,0)),""))</f>
        <v/>
      </c>
      <c r="G439" s="33" t="str">
        <f aca="false">IF(OR(D439="",F439=""),"",D439/5*F439)</f>
        <v/>
      </c>
    </row>
    <row r="440" customFormat="false" ht="15" hidden="false" customHeight="true" outlineLevel="0" collapsed="false">
      <c r="A440" s="30"/>
      <c r="C440" s="30"/>
      <c r="F440" s="9" t="str">
        <f aca="false">IF(C440="","",IFERROR(INDEX('Sub-principles'!$E$2:$E$11,MATCH(C440,'Sub-principles'!$A$2:$A$11,0)),""))</f>
        <v/>
      </c>
      <c r="G440" s="33" t="str">
        <f aca="false">IF(OR(D440="",F440=""),"",D440/5*F440)</f>
        <v/>
      </c>
    </row>
    <row r="441" customFormat="false" ht="15" hidden="false" customHeight="true" outlineLevel="0" collapsed="false">
      <c r="A441" s="30"/>
      <c r="C441" s="30"/>
      <c r="F441" s="9" t="str">
        <f aca="false">IF(C441="","",IFERROR(INDEX('Sub-principles'!$E$2:$E$11,MATCH(C441,'Sub-principles'!$A$2:$A$11,0)),""))</f>
        <v/>
      </c>
      <c r="G441" s="33" t="str">
        <f aca="false">IF(OR(D441="",F441=""),"",D441/5*F441)</f>
        <v/>
      </c>
    </row>
    <row r="442" customFormat="false" ht="15" hidden="false" customHeight="true" outlineLevel="0" collapsed="false">
      <c r="A442" s="30"/>
      <c r="C442" s="30"/>
      <c r="F442" s="9" t="str">
        <f aca="false">IF(C442="","",IFERROR(INDEX('Sub-principles'!$E$2:$E$11,MATCH(C442,'Sub-principles'!$A$2:$A$11,0)),""))</f>
        <v/>
      </c>
      <c r="G442" s="33" t="str">
        <f aca="false">IF(OR(D442="",F442=""),"",D442/5*F442)</f>
        <v/>
      </c>
    </row>
    <row r="443" customFormat="false" ht="15" hidden="false" customHeight="true" outlineLevel="0" collapsed="false">
      <c r="A443" s="30"/>
      <c r="C443" s="30"/>
      <c r="F443" s="9" t="str">
        <f aca="false">IF(C443="","",IFERROR(INDEX('Sub-principles'!$E$2:$E$11,MATCH(C443,'Sub-principles'!$A$2:$A$11,0)),""))</f>
        <v/>
      </c>
      <c r="G443" s="33" t="str">
        <f aca="false">IF(OR(D443="",F443=""),"",D443/5*F443)</f>
        <v/>
      </c>
    </row>
    <row r="444" customFormat="false" ht="15" hidden="false" customHeight="true" outlineLevel="0" collapsed="false">
      <c r="A444" s="30"/>
      <c r="C444" s="30"/>
      <c r="F444" s="9" t="str">
        <f aca="false">IF(C444="","",IFERROR(INDEX('Sub-principles'!$E$2:$E$11,MATCH(C444,'Sub-principles'!$A$2:$A$11,0)),""))</f>
        <v/>
      </c>
      <c r="G444" s="33" t="str">
        <f aca="false">IF(OR(D444="",F444=""),"",D444/5*F444)</f>
        <v/>
      </c>
    </row>
    <row r="445" customFormat="false" ht="15" hidden="false" customHeight="true" outlineLevel="0" collapsed="false">
      <c r="A445" s="30"/>
      <c r="C445" s="30"/>
      <c r="F445" s="9" t="str">
        <f aca="false">IF(C445="","",IFERROR(INDEX('Sub-principles'!$E$2:$E$11,MATCH(C445,'Sub-principles'!$A$2:$A$11,0)),""))</f>
        <v/>
      </c>
      <c r="G445" s="33" t="str">
        <f aca="false">IF(OR(D445="",F445=""),"",D445/5*F445)</f>
        <v/>
      </c>
    </row>
    <row r="446" customFormat="false" ht="15" hidden="false" customHeight="true" outlineLevel="0" collapsed="false">
      <c r="A446" s="30"/>
      <c r="C446" s="30"/>
      <c r="F446" s="9" t="str">
        <f aca="false">IF(C446="","",IFERROR(INDEX('Sub-principles'!$E$2:$E$11,MATCH(C446,'Sub-principles'!$A$2:$A$11,0)),""))</f>
        <v/>
      </c>
      <c r="G446" s="33" t="str">
        <f aca="false">IF(OR(D446="",F446=""),"",D446/5*F446)</f>
        <v/>
      </c>
    </row>
    <row r="447" customFormat="false" ht="15" hidden="false" customHeight="true" outlineLevel="0" collapsed="false">
      <c r="A447" s="30"/>
      <c r="C447" s="30"/>
      <c r="F447" s="9" t="str">
        <f aca="false">IF(C447="","",IFERROR(INDEX('Sub-principles'!$E$2:$E$11,MATCH(C447,'Sub-principles'!$A$2:$A$11,0)),""))</f>
        <v/>
      </c>
      <c r="G447" s="33" t="str">
        <f aca="false">IF(OR(D447="",F447=""),"",D447/5*F447)</f>
        <v/>
      </c>
    </row>
    <row r="448" customFormat="false" ht="15" hidden="false" customHeight="true" outlineLevel="0" collapsed="false">
      <c r="A448" s="30"/>
      <c r="C448" s="30"/>
      <c r="F448" s="9" t="str">
        <f aca="false">IF(C448="","",IFERROR(INDEX('Sub-principles'!$E$2:$E$11,MATCH(C448,'Sub-principles'!$A$2:$A$11,0)),""))</f>
        <v/>
      </c>
      <c r="G448" s="33" t="str">
        <f aca="false">IF(OR(D448="",F448=""),"",D448/5*F448)</f>
        <v/>
      </c>
    </row>
    <row r="449" customFormat="false" ht="15" hidden="false" customHeight="true" outlineLevel="0" collapsed="false">
      <c r="A449" s="30"/>
      <c r="C449" s="30"/>
      <c r="F449" s="9" t="str">
        <f aca="false">IF(C449="","",IFERROR(INDEX('Sub-principles'!$E$2:$E$11,MATCH(C449,'Sub-principles'!$A$2:$A$11,0)),""))</f>
        <v/>
      </c>
      <c r="G449" s="33" t="str">
        <f aca="false">IF(OR(D449="",F449=""),"",D449/5*F449)</f>
        <v/>
      </c>
    </row>
    <row r="450" customFormat="false" ht="15" hidden="false" customHeight="true" outlineLevel="0" collapsed="false">
      <c r="A450" s="30"/>
      <c r="C450" s="30"/>
      <c r="F450" s="9" t="str">
        <f aca="false">IF(C450="","",IFERROR(INDEX('Sub-principles'!$E$2:$E$11,MATCH(C450,'Sub-principles'!$A$2:$A$11,0)),""))</f>
        <v/>
      </c>
      <c r="G450" s="33" t="str">
        <f aca="false">IF(OR(D450="",F450=""),"",D450/5*F450)</f>
        <v/>
      </c>
    </row>
    <row r="451" customFormat="false" ht="15" hidden="false" customHeight="true" outlineLevel="0" collapsed="false">
      <c r="A451" s="30"/>
      <c r="C451" s="30"/>
      <c r="F451" s="9" t="str">
        <f aca="false">IF(C451="","",IFERROR(INDEX('Sub-principles'!$E$2:$E$11,MATCH(C451,'Sub-principles'!$A$2:$A$11,0)),""))</f>
        <v/>
      </c>
      <c r="G451" s="33" t="str">
        <f aca="false">IF(OR(D451="",F451=""),"",D451/5*F451)</f>
        <v/>
      </c>
    </row>
    <row r="452" customFormat="false" ht="15" hidden="false" customHeight="true" outlineLevel="0" collapsed="false">
      <c r="A452" s="30"/>
      <c r="C452" s="30"/>
      <c r="F452" s="9" t="str">
        <f aca="false">IF(C452="","",IFERROR(INDEX('Sub-principles'!$E$2:$E$11,MATCH(C452,'Sub-principles'!$A$2:$A$11,0)),""))</f>
        <v/>
      </c>
      <c r="G452" s="33" t="str">
        <f aca="false">IF(OR(D452="",F452=""),"",D452/5*F452)</f>
        <v/>
      </c>
    </row>
    <row r="453" customFormat="false" ht="15" hidden="false" customHeight="true" outlineLevel="0" collapsed="false">
      <c r="A453" s="30"/>
      <c r="C453" s="30"/>
      <c r="F453" s="9" t="str">
        <f aca="false">IF(C453="","",IFERROR(INDEX('Sub-principles'!$E$2:$E$11,MATCH(C453,'Sub-principles'!$A$2:$A$11,0)),""))</f>
        <v/>
      </c>
      <c r="G453" s="33" t="str">
        <f aca="false">IF(OR(D453="",F453=""),"",D453/5*F453)</f>
        <v/>
      </c>
    </row>
    <row r="454" customFormat="false" ht="15" hidden="false" customHeight="true" outlineLevel="0" collapsed="false">
      <c r="A454" s="30"/>
      <c r="C454" s="30"/>
      <c r="F454" s="9" t="str">
        <f aca="false">IF(C454="","",IFERROR(INDEX('Sub-principles'!$E$2:$E$11,MATCH(C454,'Sub-principles'!$A$2:$A$11,0)),""))</f>
        <v/>
      </c>
      <c r="G454" s="33" t="str">
        <f aca="false">IF(OR(D454="",F454=""),"",D454/5*F454)</f>
        <v/>
      </c>
    </row>
    <row r="455" customFormat="false" ht="15" hidden="false" customHeight="true" outlineLevel="0" collapsed="false">
      <c r="A455" s="30"/>
      <c r="C455" s="30"/>
      <c r="F455" s="9" t="str">
        <f aca="false">IF(C455="","",IFERROR(INDEX('Sub-principles'!$E$2:$E$11,MATCH(C455,'Sub-principles'!$A$2:$A$11,0)),""))</f>
        <v/>
      </c>
      <c r="G455" s="33" t="str">
        <f aca="false">IF(OR(D455="",F455=""),"",D455/5*F455)</f>
        <v/>
      </c>
    </row>
    <row r="456" customFormat="false" ht="15" hidden="false" customHeight="true" outlineLevel="0" collapsed="false">
      <c r="A456" s="30"/>
      <c r="C456" s="30"/>
      <c r="F456" s="9" t="str">
        <f aca="false">IF(C456="","",IFERROR(INDEX('Sub-principles'!$E$2:$E$11,MATCH(C456,'Sub-principles'!$A$2:$A$11,0)),""))</f>
        <v/>
      </c>
      <c r="G456" s="33" t="str">
        <f aca="false">IF(OR(D456="",F456=""),"",D456/5*F456)</f>
        <v/>
      </c>
    </row>
    <row r="457" customFormat="false" ht="15" hidden="false" customHeight="true" outlineLevel="0" collapsed="false">
      <c r="A457" s="30"/>
      <c r="C457" s="30"/>
      <c r="F457" s="9" t="str">
        <f aca="false">IF(C457="","",IFERROR(INDEX('Sub-principles'!$E$2:$E$11,MATCH(C457,'Sub-principles'!$A$2:$A$11,0)),""))</f>
        <v/>
      </c>
      <c r="G457" s="33" t="str">
        <f aca="false">IF(OR(D457="",F457=""),"",D457/5*F457)</f>
        <v/>
      </c>
    </row>
    <row r="458" customFormat="false" ht="15" hidden="false" customHeight="true" outlineLevel="0" collapsed="false">
      <c r="A458" s="30"/>
      <c r="C458" s="30"/>
      <c r="F458" s="9" t="str">
        <f aca="false">IF(C458="","",IFERROR(INDEX('Sub-principles'!$E$2:$E$11,MATCH(C458,'Sub-principles'!$A$2:$A$11,0)),""))</f>
        <v/>
      </c>
      <c r="G458" s="33" t="str">
        <f aca="false">IF(OR(D458="",F458=""),"",D458/5*F458)</f>
        <v/>
      </c>
    </row>
    <row r="459" customFormat="false" ht="15" hidden="false" customHeight="true" outlineLevel="0" collapsed="false">
      <c r="A459" s="30"/>
      <c r="C459" s="30"/>
      <c r="F459" s="9" t="str">
        <f aca="false">IF(C459="","",IFERROR(INDEX('Sub-principles'!$E$2:$E$11,MATCH(C459,'Sub-principles'!$A$2:$A$11,0)),""))</f>
        <v/>
      </c>
      <c r="G459" s="33" t="str">
        <f aca="false">IF(OR(D459="",F459=""),"",D459/5*F459)</f>
        <v/>
      </c>
    </row>
    <row r="460" customFormat="false" ht="15" hidden="false" customHeight="true" outlineLevel="0" collapsed="false">
      <c r="A460" s="30"/>
      <c r="C460" s="30"/>
      <c r="F460" s="9" t="str">
        <f aca="false">IF(C460="","",IFERROR(INDEX('Sub-principles'!$E$2:$E$11,MATCH(C460,'Sub-principles'!$A$2:$A$11,0)),""))</f>
        <v/>
      </c>
      <c r="G460" s="33" t="str">
        <f aca="false">IF(OR(D460="",F460=""),"",D460/5*F460)</f>
        <v/>
      </c>
    </row>
    <row r="461" customFormat="false" ht="15" hidden="false" customHeight="true" outlineLevel="0" collapsed="false">
      <c r="A461" s="30"/>
      <c r="C461" s="30"/>
      <c r="F461" s="9" t="str">
        <f aca="false">IF(C461="","",IFERROR(INDEX('Sub-principles'!$E$2:$E$11,MATCH(C461,'Sub-principles'!$A$2:$A$11,0)),""))</f>
        <v/>
      </c>
      <c r="G461" s="33" t="str">
        <f aca="false">IF(OR(D461="",F461=""),"",D461/5*F461)</f>
        <v/>
      </c>
    </row>
    <row r="462" customFormat="false" ht="15" hidden="false" customHeight="true" outlineLevel="0" collapsed="false">
      <c r="A462" s="30"/>
      <c r="C462" s="30"/>
      <c r="F462" s="9" t="str">
        <f aca="false">IF(C462="","",IFERROR(INDEX('Sub-principles'!$E$2:$E$11,MATCH(C462,'Sub-principles'!$A$2:$A$11,0)),""))</f>
        <v/>
      </c>
      <c r="G462" s="33" t="str">
        <f aca="false">IF(OR(D462="",F462=""),"",D462/5*F462)</f>
        <v/>
      </c>
    </row>
    <row r="463" customFormat="false" ht="15" hidden="false" customHeight="true" outlineLevel="0" collapsed="false">
      <c r="A463" s="30"/>
      <c r="C463" s="30"/>
      <c r="F463" s="9" t="str">
        <f aca="false">IF(C463="","",IFERROR(INDEX('Sub-principles'!$E$2:$E$11,MATCH(C463,'Sub-principles'!$A$2:$A$11,0)),""))</f>
        <v/>
      </c>
      <c r="G463" s="33" t="str">
        <f aca="false">IF(OR(D463="",F463=""),"",D463/5*F463)</f>
        <v/>
      </c>
    </row>
    <row r="464" customFormat="false" ht="15" hidden="false" customHeight="true" outlineLevel="0" collapsed="false">
      <c r="A464" s="30"/>
      <c r="C464" s="30"/>
      <c r="F464" s="9" t="str">
        <f aca="false">IF(C464="","",IFERROR(INDEX('Sub-principles'!$E$2:$E$11,MATCH(C464,'Sub-principles'!$A$2:$A$11,0)),""))</f>
        <v/>
      </c>
      <c r="G464" s="33" t="str">
        <f aca="false">IF(OR(D464="",F464=""),"",D464/5*F464)</f>
        <v/>
      </c>
    </row>
    <row r="465" customFormat="false" ht="15" hidden="false" customHeight="true" outlineLevel="0" collapsed="false">
      <c r="A465" s="30"/>
      <c r="C465" s="30"/>
      <c r="F465" s="9" t="str">
        <f aca="false">IF(C465="","",IFERROR(INDEX('Sub-principles'!$E$2:$E$11,MATCH(C465,'Sub-principles'!$A$2:$A$11,0)),""))</f>
        <v/>
      </c>
      <c r="G465" s="33" t="str">
        <f aca="false">IF(OR(D465="",F465=""),"",D465/5*F465)</f>
        <v/>
      </c>
    </row>
    <row r="466" customFormat="false" ht="15" hidden="false" customHeight="true" outlineLevel="0" collapsed="false">
      <c r="A466" s="30"/>
      <c r="C466" s="30"/>
      <c r="F466" s="9" t="str">
        <f aca="false">IF(C466="","",IFERROR(INDEX('Sub-principles'!$E$2:$E$11,MATCH(C466,'Sub-principles'!$A$2:$A$11,0)),""))</f>
        <v/>
      </c>
      <c r="G466" s="33" t="str">
        <f aca="false">IF(OR(D466="",F466=""),"",D466/5*F466)</f>
        <v/>
      </c>
    </row>
    <row r="467" customFormat="false" ht="15" hidden="false" customHeight="true" outlineLevel="0" collapsed="false">
      <c r="A467" s="30"/>
      <c r="C467" s="30"/>
      <c r="F467" s="9" t="str">
        <f aca="false">IF(C467="","",IFERROR(INDEX('Sub-principles'!$E$2:$E$11,MATCH(C467,'Sub-principles'!$A$2:$A$11,0)),""))</f>
        <v/>
      </c>
      <c r="G467" s="33" t="str">
        <f aca="false">IF(OR(D467="",F467=""),"",D467/5*F467)</f>
        <v/>
      </c>
    </row>
    <row r="468" customFormat="false" ht="15" hidden="false" customHeight="true" outlineLevel="0" collapsed="false">
      <c r="A468" s="30"/>
      <c r="C468" s="30"/>
      <c r="F468" s="9" t="str">
        <f aca="false">IF(C468="","",IFERROR(INDEX('Sub-principles'!$E$2:$E$11,MATCH(C468,'Sub-principles'!$A$2:$A$11,0)),""))</f>
        <v/>
      </c>
      <c r="G468" s="33" t="str">
        <f aca="false">IF(OR(D468="",F468=""),"",D468/5*F468)</f>
        <v/>
      </c>
    </row>
    <row r="469" customFormat="false" ht="15" hidden="false" customHeight="true" outlineLevel="0" collapsed="false">
      <c r="A469" s="30"/>
      <c r="C469" s="30"/>
      <c r="F469" s="9" t="str">
        <f aca="false">IF(C469="","",IFERROR(INDEX('Sub-principles'!$E$2:$E$11,MATCH(C469,'Sub-principles'!$A$2:$A$11,0)),""))</f>
        <v/>
      </c>
      <c r="G469" s="33" t="str">
        <f aca="false">IF(OR(D469="",F469=""),"",D469/5*F469)</f>
        <v/>
      </c>
    </row>
    <row r="470" customFormat="false" ht="15" hidden="false" customHeight="true" outlineLevel="0" collapsed="false">
      <c r="A470" s="30"/>
      <c r="C470" s="30"/>
      <c r="F470" s="9" t="str">
        <f aca="false">IF(C470="","",IFERROR(INDEX('Sub-principles'!$E$2:$E$11,MATCH(C470,'Sub-principles'!$A$2:$A$11,0)),""))</f>
        <v/>
      </c>
      <c r="G470" s="33" t="str">
        <f aca="false">IF(OR(D470="",F470=""),"",D470/5*F470)</f>
        <v/>
      </c>
    </row>
    <row r="471" customFormat="false" ht="15" hidden="false" customHeight="true" outlineLevel="0" collapsed="false">
      <c r="A471" s="30"/>
      <c r="C471" s="30"/>
      <c r="F471" s="9" t="str">
        <f aca="false">IF(C471="","",IFERROR(INDEX('Sub-principles'!$E$2:$E$11,MATCH(C471,'Sub-principles'!$A$2:$A$11,0)),""))</f>
        <v/>
      </c>
      <c r="G471" s="33" t="str">
        <f aca="false">IF(OR(D471="",F471=""),"",D471/5*F471)</f>
        <v/>
      </c>
    </row>
    <row r="472" customFormat="false" ht="15" hidden="false" customHeight="true" outlineLevel="0" collapsed="false">
      <c r="A472" s="30"/>
      <c r="C472" s="30"/>
      <c r="F472" s="9" t="str">
        <f aca="false">IF(C472="","",IFERROR(INDEX('Sub-principles'!$E$2:$E$11,MATCH(C472,'Sub-principles'!$A$2:$A$11,0)),""))</f>
        <v/>
      </c>
      <c r="G472" s="33" t="str">
        <f aca="false">IF(OR(D472="",F472=""),"",D472/5*F472)</f>
        <v/>
      </c>
    </row>
    <row r="473" customFormat="false" ht="15" hidden="false" customHeight="true" outlineLevel="0" collapsed="false">
      <c r="A473" s="30"/>
      <c r="C473" s="30"/>
      <c r="F473" s="9" t="str">
        <f aca="false">IF(C473="","",IFERROR(INDEX('Sub-principles'!$E$2:$E$11,MATCH(C473,'Sub-principles'!$A$2:$A$11,0)),""))</f>
        <v/>
      </c>
      <c r="G473" s="33" t="str">
        <f aca="false">IF(OR(D473="",F473=""),"",D473/5*F473)</f>
        <v/>
      </c>
    </row>
    <row r="474" customFormat="false" ht="15" hidden="false" customHeight="true" outlineLevel="0" collapsed="false">
      <c r="A474" s="30"/>
      <c r="C474" s="30"/>
      <c r="F474" s="9" t="str">
        <f aca="false">IF(C474="","",IFERROR(INDEX('Sub-principles'!$E$2:$E$11,MATCH(C474,'Sub-principles'!$A$2:$A$11,0)),""))</f>
        <v/>
      </c>
      <c r="G474" s="33" t="str">
        <f aca="false">IF(OR(D474="",F474=""),"",D474/5*F474)</f>
        <v/>
      </c>
    </row>
    <row r="475" customFormat="false" ht="15" hidden="false" customHeight="true" outlineLevel="0" collapsed="false">
      <c r="A475" s="30"/>
      <c r="C475" s="30"/>
      <c r="F475" s="9" t="str">
        <f aca="false">IF(C475="","",IFERROR(INDEX('Sub-principles'!$E$2:$E$11,MATCH(C475,'Sub-principles'!$A$2:$A$11,0)),""))</f>
        <v/>
      </c>
      <c r="G475" s="33" t="str">
        <f aca="false">IF(OR(D475="",F475=""),"",D475/5*F475)</f>
        <v/>
      </c>
    </row>
    <row r="476" customFormat="false" ht="15" hidden="false" customHeight="true" outlineLevel="0" collapsed="false">
      <c r="A476" s="30"/>
      <c r="C476" s="30"/>
      <c r="F476" s="9" t="str">
        <f aca="false">IF(C476="","",IFERROR(INDEX('Sub-principles'!$E$2:$E$11,MATCH(C476,'Sub-principles'!$A$2:$A$11,0)),""))</f>
        <v/>
      </c>
      <c r="G476" s="33" t="str">
        <f aca="false">IF(OR(D476="",F476=""),"",D476/5*F476)</f>
        <v/>
      </c>
    </row>
    <row r="477" customFormat="false" ht="15" hidden="false" customHeight="true" outlineLevel="0" collapsed="false">
      <c r="A477" s="30"/>
      <c r="C477" s="30"/>
      <c r="F477" s="9" t="str">
        <f aca="false">IF(C477="","",IFERROR(INDEX('Sub-principles'!$E$2:$E$11,MATCH(C477,'Sub-principles'!$A$2:$A$11,0)),""))</f>
        <v/>
      </c>
      <c r="G477" s="33" t="str">
        <f aca="false">IF(OR(D477="",F477=""),"",D477/5*F477)</f>
        <v/>
      </c>
    </row>
    <row r="478" customFormat="false" ht="15" hidden="false" customHeight="true" outlineLevel="0" collapsed="false">
      <c r="A478" s="30"/>
      <c r="C478" s="30"/>
      <c r="F478" s="9" t="str">
        <f aca="false">IF(C478="","",IFERROR(INDEX('Sub-principles'!$E$2:$E$11,MATCH(C478,'Sub-principles'!$A$2:$A$11,0)),""))</f>
        <v/>
      </c>
      <c r="G478" s="33" t="str">
        <f aca="false">IF(OR(D478="",F478=""),"",D478/5*F478)</f>
        <v/>
      </c>
    </row>
    <row r="479" customFormat="false" ht="15" hidden="false" customHeight="true" outlineLevel="0" collapsed="false">
      <c r="A479" s="30"/>
      <c r="C479" s="30"/>
      <c r="F479" s="9" t="str">
        <f aca="false">IF(C479="","",IFERROR(INDEX('Sub-principles'!$E$2:$E$11,MATCH(C479,'Sub-principles'!$A$2:$A$11,0)),""))</f>
        <v/>
      </c>
      <c r="G479" s="33" t="str">
        <f aca="false">IF(OR(D479="",F479=""),"",D479/5*F479)</f>
        <v/>
      </c>
    </row>
    <row r="480" customFormat="false" ht="15" hidden="false" customHeight="true" outlineLevel="0" collapsed="false">
      <c r="A480" s="30"/>
      <c r="C480" s="30"/>
      <c r="F480" s="9" t="str">
        <f aca="false">IF(C480="","",IFERROR(INDEX('Sub-principles'!$E$2:$E$11,MATCH(C480,'Sub-principles'!$A$2:$A$11,0)),""))</f>
        <v/>
      </c>
      <c r="G480" s="33" t="str">
        <f aca="false">IF(OR(D480="",F480=""),"",D480/5*F480)</f>
        <v/>
      </c>
    </row>
    <row r="481" customFormat="false" ht="15" hidden="false" customHeight="true" outlineLevel="0" collapsed="false">
      <c r="A481" s="30"/>
      <c r="C481" s="30"/>
      <c r="F481" s="9" t="str">
        <f aca="false">IF(C481="","",IFERROR(INDEX('Sub-principles'!$E$2:$E$11,MATCH(C481,'Sub-principles'!$A$2:$A$11,0)),""))</f>
        <v/>
      </c>
      <c r="G481" s="33" t="str">
        <f aca="false">IF(OR(D481="",F481=""),"",D481/5*F481)</f>
        <v/>
      </c>
    </row>
    <row r="482" customFormat="false" ht="15" hidden="false" customHeight="true" outlineLevel="0" collapsed="false">
      <c r="A482" s="30"/>
      <c r="C482" s="30"/>
      <c r="F482" s="9" t="str">
        <f aca="false">IF(C482="","",IFERROR(INDEX('Sub-principles'!$E$2:$E$11,MATCH(C482,'Sub-principles'!$A$2:$A$11,0)),""))</f>
        <v/>
      </c>
      <c r="G482" s="33" t="str">
        <f aca="false">IF(OR(D482="",F482=""),"",D482/5*F482)</f>
        <v/>
      </c>
    </row>
    <row r="483" customFormat="false" ht="15" hidden="false" customHeight="true" outlineLevel="0" collapsed="false">
      <c r="A483" s="30"/>
      <c r="C483" s="30"/>
      <c r="F483" s="9" t="str">
        <f aca="false">IF(C483="","",IFERROR(INDEX('Sub-principles'!$E$2:$E$11,MATCH(C483,'Sub-principles'!$A$2:$A$11,0)),""))</f>
        <v/>
      </c>
      <c r="G483" s="33" t="str">
        <f aca="false">IF(OR(D483="",F483=""),"",D483/5*F483)</f>
        <v/>
      </c>
    </row>
    <row r="484" customFormat="false" ht="15" hidden="false" customHeight="true" outlineLevel="0" collapsed="false">
      <c r="A484" s="30"/>
      <c r="C484" s="30"/>
      <c r="F484" s="9" t="str">
        <f aca="false">IF(C484="","",IFERROR(INDEX('Sub-principles'!$E$2:$E$11,MATCH(C484,'Sub-principles'!$A$2:$A$11,0)),""))</f>
        <v/>
      </c>
      <c r="G484" s="33" t="str">
        <f aca="false">IF(OR(D484="",F484=""),"",D484/5*F484)</f>
        <v/>
      </c>
    </row>
    <row r="485" customFormat="false" ht="15" hidden="false" customHeight="true" outlineLevel="0" collapsed="false">
      <c r="A485" s="30"/>
      <c r="C485" s="30"/>
      <c r="F485" s="9" t="str">
        <f aca="false">IF(C485="","",IFERROR(INDEX('Sub-principles'!$E$2:$E$11,MATCH(C485,'Sub-principles'!$A$2:$A$11,0)),""))</f>
        <v/>
      </c>
      <c r="G485" s="33" t="str">
        <f aca="false">IF(OR(D485="",F485=""),"",D485/5*F485)</f>
        <v/>
      </c>
    </row>
    <row r="486" customFormat="false" ht="15" hidden="false" customHeight="true" outlineLevel="0" collapsed="false">
      <c r="A486" s="30"/>
      <c r="C486" s="30"/>
      <c r="F486" s="9" t="str">
        <f aca="false">IF(C486="","",IFERROR(INDEX('Sub-principles'!$E$2:$E$11,MATCH(C486,'Sub-principles'!$A$2:$A$11,0)),""))</f>
        <v/>
      </c>
      <c r="G486" s="33" t="str">
        <f aca="false">IF(OR(D486="",F486=""),"",D486/5*F486)</f>
        <v/>
      </c>
    </row>
    <row r="487" customFormat="false" ht="15" hidden="false" customHeight="true" outlineLevel="0" collapsed="false">
      <c r="A487" s="30"/>
      <c r="C487" s="30"/>
      <c r="F487" s="9" t="str">
        <f aca="false">IF(C487="","",IFERROR(INDEX('Sub-principles'!$E$2:$E$11,MATCH(C487,'Sub-principles'!$A$2:$A$11,0)),""))</f>
        <v/>
      </c>
      <c r="G487" s="33" t="str">
        <f aca="false">IF(OR(D487="",F487=""),"",D487/5*F487)</f>
        <v/>
      </c>
    </row>
    <row r="488" customFormat="false" ht="15" hidden="false" customHeight="true" outlineLevel="0" collapsed="false">
      <c r="A488" s="30"/>
      <c r="C488" s="30"/>
      <c r="F488" s="9" t="str">
        <f aca="false">IF(C488="","",IFERROR(INDEX('Sub-principles'!$E$2:$E$11,MATCH(C488,'Sub-principles'!$A$2:$A$11,0)),""))</f>
        <v/>
      </c>
      <c r="G488" s="33" t="str">
        <f aca="false">IF(OR(D488="",F488=""),"",D488/5*F488)</f>
        <v/>
      </c>
    </row>
    <row r="489" customFormat="false" ht="15" hidden="false" customHeight="true" outlineLevel="0" collapsed="false">
      <c r="A489" s="30"/>
      <c r="C489" s="30"/>
      <c r="F489" s="9" t="str">
        <f aca="false">IF(C489="","",IFERROR(INDEX('Sub-principles'!$E$2:$E$11,MATCH(C489,'Sub-principles'!$A$2:$A$11,0)),""))</f>
        <v/>
      </c>
      <c r="G489" s="33" t="str">
        <f aca="false">IF(OR(D489="",F489=""),"",D489/5*F489)</f>
        <v/>
      </c>
    </row>
    <row r="490" customFormat="false" ht="15" hidden="false" customHeight="true" outlineLevel="0" collapsed="false">
      <c r="A490" s="30"/>
      <c r="C490" s="30"/>
      <c r="F490" s="9" t="str">
        <f aca="false">IF(C490="","",IFERROR(INDEX('Sub-principles'!$E$2:$E$11,MATCH(C490,'Sub-principles'!$A$2:$A$11,0)),""))</f>
        <v/>
      </c>
      <c r="G490" s="33" t="str">
        <f aca="false">IF(OR(D490="",F490=""),"",D490/5*F490)</f>
        <v/>
      </c>
    </row>
    <row r="491" customFormat="false" ht="15" hidden="false" customHeight="true" outlineLevel="0" collapsed="false">
      <c r="A491" s="30"/>
      <c r="C491" s="30"/>
      <c r="F491" s="9" t="str">
        <f aca="false">IF(C491="","",IFERROR(INDEX('Sub-principles'!$E$2:$E$11,MATCH(C491,'Sub-principles'!$A$2:$A$11,0)),""))</f>
        <v/>
      </c>
      <c r="G491" s="33" t="str">
        <f aca="false">IF(OR(D491="",F491=""),"",D491/5*F491)</f>
        <v/>
      </c>
    </row>
    <row r="492" customFormat="false" ht="15" hidden="false" customHeight="true" outlineLevel="0" collapsed="false">
      <c r="A492" s="30"/>
      <c r="C492" s="30"/>
      <c r="F492" s="9" t="str">
        <f aca="false">IF(C492="","",IFERROR(INDEX('Sub-principles'!$E$2:$E$11,MATCH(C492,'Sub-principles'!$A$2:$A$11,0)),""))</f>
        <v/>
      </c>
      <c r="G492" s="33" t="str">
        <f aca="false">IF(OR(D492="",F492=""),"",D492/5*F492)</f>
        <v/>
      </c>
    </row>
    <row r="493" customFormat="false" ht="15" hidden="false" customHeight="true" outlineLevel="0" collapsed="false">
      <c r="A493" s="30"/>
      <c r="C493" s="30"/>
      <c r="F493" s="9" t="str">
        <f aca="false">IF(C493="","",IFERROR(INDEX('Sub-principles'!$E$2:$E$11,MATCH(C493,'Sub-principles'!$A$2:$A$11,0)),""))</f>
        <v/>
      </c>
      <c r="G493" s="33" t="str">
        <f aca="false">IF(OR(D493="",F493=""),"",D493/5*F493)</f>
        <v/>
      </c>
    </row>
    <row r="494" customFormat="false" ht="15" hidden="false" customHeight="true" outlineLevel="0" collapsed="false">
      <c r="A494" s="30"/>
      <c r="C494" s="30"/>
      <c r="F494" s="9" t="str">
        <f aca="false">IF(C494="","",IFERROR(INDEX('Sub-principles'!$E$2:$E$11,MATCH(C494,'Sub-principles'!$A$2:$A$11,0)),""))</f>
        <v/>
      </c>
      <c r="G494" s="33" t="str">
        <f aca="false">IF(OR(D494="",F494=""),"",D494/5*F494)</f>
        <v/>
      </c>
    </row>
    <row r="495" customFormat="false" ht="15" hidden="false" customHeight="true" outlineLevel="0" collapsed="false">
      <c r="A495" s="30"/>
      <c r="C495" s="30"/>
      <c r="F495" s="9" t="str">
        <f aca="false">IF(C495="","",IFERROR(INDEX('Sub-principles'!$E$2:$E$11,MATCH(C495,'Sub-principles'!$A$2:$A$11,0)),""))</f>
        <v/>
      </c>
      <c r="G495" s="33" t="str">
        <f aca="false">IF(OR(D495="",F495=""),"",D495/5*F495)</f>
        <v/>
      </c>
    </row>
    <row r="496" customFormat="false" ht="15" hidden="false" customHeight="true" outlineLevel="0" collapsed="false">
      <c r="A496" s="30"/>
      <c r="C496" s="30"/>
      <c r="F496" s="9" t="str">
        <f aca="false">IF(C496="","",IFERROR(INDEX('Sub-principles'!$E$2:$E$11,MATCH(C496,'Sub-principles'!$A$2:$A$11,0)),""))</f>
        <v/>
      </c>
      <c r="G496" s="33" t="str">
        <f aca="false">IF(OR(D496="",F496=""),"",D496/5*F496)</f>
        <v/>
      </c>
    </row>
    <row r="497" customFormat="false" ht="15" hidden="false" customHeight="true" outlineLevel="0" collapsed="false">
      <c r="A497" s="30"/>
      <c r="C497" s="30"/>
      <c r="F497" s="9" t="str">
        <f aca="false">IF(C497="","",IFERROR(INDEX('Sub-principles'!$E$2:$E$11,MATCH(C497,'Sub-principles'!$A$2:$A$11,0)),""))</f>
        <v/>
      </c>
      <c r="G497" s="33" t="str">
        <f aca="false">IF(OR(D497="",F497=""),"",D497/5*F497)</f>
        <v/>
      </c>
    </row>
    <row r="498" customFormat="false" ht="15" hidden="false" customHeight="true" outlineLevel="0" collapsed="false">
      <c r="A498" s="30"/>
      <c r="C498" s="30"/>
      <c r="F498" s="9" t="str">
        <f aca="false">IF(C498="","",IFERROR(INDEX('Sub-principles'!$E$2:$E$11,MATCH(C498,'Sub-principles'!$A$2:$A$11,0)),""))</f>
        <v/>
      </c>
      <c r="G498" s="33" t="str">
        <f aca="false">IF(OR(D498="",F498=""),"",D498/5*F498)</f>
        <v/>
      </c>
    </row>
    <row r="499" customFormat="false" ht="15" hidden="false" customHeight="true" outlineLevel="0" collapsed="false">
      <c r="A499" s="30"/>
      <c r="C499" s="30"/>
      <c r="F499" s="9" t="str">
        <f aca="false">IF(C499="","",IFERROR(INDEX('Sub-principles'!$E$2:$E$11,MATCH(C499,'Sub-principles'!$A$2:$A$11,0)),""))</f>
        <v/>
      </c>
      <c r="G499" s="33" t="str">
        <f aca="false">IF(OR(D499="",F499=""),"",D499/5*F499)</f>
        <v/>
      </c>
    </row>
    <row r="500" customFormat="false" ht="15" hidden="false" customHeight="true" outlineLevel="0" collapsed="false">
      <c r="A500" s="30"/>
      <c r="C500" s="30"/>
      <c r="F500" s="9" t="str">
        <f aca="false">IF(C500="","",IFERROR(INDEX('Sub-principles'!$E$2:$E$11,MATCH(C500,'Sub-principles'!$A$2:$A$11,0)),""))</f>
        <v/>
      </c>
      <c r="G500" s="33" t="str">
        <f aca="false">IF(OR(D500="",F500=""),"",D500/5*F500)</f>
        <v/>
      </c>
    </row>
    <row r="501" customFormat="false" ht="15" hidden="false" customHeight="true" outlineLevel="0" collapsed="false">
      <c r="A501" s="30"/>
      <c r="C501" s="30"/>
      <c r="F501" s="9" t="str">
        <f aca="false">IF(C501="","",IFERROR(INDEX('Sub-principles'!$E$2:$E$11,MATCH(C501,'Sub-principles'!$A$2:$A$11,0)),""))</f>
        <v/>
      </c>
      <c r="G501" s="33" t="str">
        <f aca="false">IF(OR(D501="",F501=""),"",D501/5*F501)</f>
        <v/>
      </c>
    </row>
    <row r="502" customFormat="false" ht="15" hidden="false" customHeight="true" outlineLevel="0" collapsed="false">
      <c r="A502" s="30"/>
      <c r="C502" s="30"/>
      <c r="F502" s="9" t="str">
        <f aca="false">IF(C502="","",IFERROR(INDEX('Sub-principles'!$E$2:$E$11,MATCH(C502,'Sub-principles'!$A$2:$A$11,0)),""))</f>
        <v/>
      </c>
      <c r="G502" s="33" t="str">
        <f aca="false">IF(OR(D502="",F502=""),"",D502/5*F502)</f>
        <v/>
      </c>
    </row>
    <row r="503" customFormat="false" ht="15" hidden="false" customHeight="true" outlineLevel="0" collapsed="false">
      <c r="A503" s="30"/>
      <c r="C503" s="30"/>
      <c r="F503" s="9" t="str">
        <f aca="false">IF(C503="","",IFERROR(INDEX('Sub-principles'!$E$2:$E$11,MATCH(C503,'Sub-principles'!$A$2:$A$11,0)),""))</f>
        <v/>
      </c>
      <c r="G503" s="33" t="str">
        <f aca="false">IF(OR(D503="",F503=""),"",D503/5*F503)</f>
        <v/>
      </c>
    </row>
    <row r="504" customFormat="false" ht="15" hidden="false" customHeight="true" outlineLevel="0" collapsed="false">
      <c r="A504" s="30"/>
      <c r="C504" s="30"/>
      <c r="F504" s="9" t="str">
        <f aca="false">IF(C504="","",IFERROR(INDEX('Sub-principles'!$E$2:$E$11,MATCH(C504,'Sub-principles'!$A$2:$A$11,0)),""))</f>
        <v/>
      </c>
      <c r="G504" s="33" t="str">
        <f aca="false">IF(OR(D504="",F504=""),"",D504/5*F504)</f>
        <v/>
      </c>
    </row>
    <row r="505" customFormat="false" ht="15" hidden="false" customHeight="true" outlineLevel="0" collapsed="false">
      <c r="A505" s="30"/>
      <c r="C505" s="30"/>
      <c r="F505" s="9" t="str">
        <f aca="false">IF(C505="","",IFERROR(INDEX('Sub-principles'!$E$2:$E$11,MATCH(C505,'Sub-principles'!$A$2:$A$11,0)),""))</f>
        <v/>
      </c>
      <c r="G505" s="33" t="str">
        <f aca="false">IF(OR(D505="",F505=""),"",D505/5*F505)</f>
        <v/>
      </c>
    </row>
    <row r="506" customFormat="false" ht="15" hidden="false" customHeight="true" outlineLevel="0" collapsed="false">
      <c r="A506" s="30"/>
      <c r="C506" s="30"/>
      <c r="F506" s="9" t="str">
        <f aca="false">IF(C506="","",IFERROR(INDEX('Sub-principles'!$E$2:$E$11,MATCH(C506,'Sub-principles'!$A$2:$A$11,0)),""))</f>
        <v/>
      </c>
      <c r="G506" s="33" t="str">
        <f aca="false">IF(OR(D506="",F506=""),"",D506/5*F506)</f>
        <v/>
      </c>
    </row>
    <row r="507" customFormat="false" ht="15" hidden="false" customHeight="true" outlineLevel="0" collapsed="false">
      <c r="A507" s="30"/>
      <c r="C507" s="30"/>
      <c r="F507" s="9" t="str">
        <f aca="false">IF(C507="","",IFERROR(INDEX('Sub-principles'!$E$2:$E$11,MATCH(C507,'Sub-principles'!$A$2:$A$11,0)),""))</f>
        <v/>
      </c>
      <c r="G507" s="33" t="str">
        <f aca="false">IF(OR(D507="",F507=""),"",D507/5*F507)</f>
        <v/>
      </c>
    </row>
    <row r="508" customFormat="false" ht="15" hidden="false" customHeight="true" outlineLevel="0" collapsed="false">
      <c r="A508" s="30"/>
      <c r="C508" s="30"/>
      <c r="F508" s="9" t="str">
        <f aca="false">IF(C508="","",IFERROR(INDEX('Sub-principles'!$E$2:$E$11,MATCH(C508,'Sub-principles'!$A$2:$A$11,0)),""))</f>
        <v/>
      </c>
      <c r="G508" s="33" t="str">
        <f aca="false">IF(OR(D508="",F508=""),"",D508/5*F508)</f>
        <v/>
      </c>
    </row>
    <row r="509" customFormat="false" ht="15" hidden="false" customHeight="true" outlineLevel="0" collapsed="false">
      <c r="A509" s="30"/>
      <c r="C509" s="30"/>
      <c r="F509" s="9" t="str">
        <f aca="false">IF(C509="","",IFERROR(INDEX('Sub-principles'!$E$2:$E$11,MATCH(C509,'Sub-principles'!$A$2:$A$11,0)),""))</f>
        <v/>
      </c>
      <c r="G509" s="33" t="str">
        <f aca="false">IF(OR(D509="",F509=""),"",D509/5*F509)</f>
        <v/>
      </c>
    </row>
    <row r="510" customFormat="false" ht="15" hidden="false" customHeight="true" outlineLevel="0" collapsed="false">
      <c r="A510" s="30"/>
      <c r="C510" s="30"/>
      <c r="F510" s="9" t="str">
        <f aca="false">IF(C510="","",IFERROR(INDEX('Sub-principles'!$E$2:$E$11,MATCH(C510,'Sub-principles'!$A$2:$A$11,0)),""))</f>
        <v/>
      </c>
      <c r="G510" s="33" t="str">
        <f aca="false">IF(OR(D510="",F510=""),"",D510/5*F510)</f>
        <v/>
      </c>
    </row>
    <row r="511" customFormat="false" ht="15" hidden="false" customHeight="true" outlineLevel="0" collapsed="false">
      <c r="A511" s="30"/>
      <c r="C511" s="30"/>
      <c r="F511" s="9" t="str">
        <f aca="false">IF(C511="","",IFERROR(INDEX('Sub-principles'!$E$2:$E$11,MATCH(C511,'Sub-principles'!$A$2:$A$11,0)),""))</f>
        <v/>
      </c>
      <c r="G511" s="33" t="str">
        <f aca="false">IF(OR(D511="",F511=""),"",D511/5*F511)</f>
        <v/>
      </c>
    </row>
    <row r="512" customFormat="false" ht="15" hidden="false" customHeight="true" outlineLevel="0" collapsed="false">
      <c r="A512" s="30"/>
      <c r="C512" s="30"/>
      <c r="F512" s="9" t="str">
        <f aca="false">IF(C512="","",IFERROR(INDEX('Sub-principles'!$E$2:$E$11,MATCH(C512,'Sub-principles'!$A$2:$A$11,0)),""))</f>
        <v/>
      </c>
      <c r="G512" s="33" t="str">
        <f aca="false">IF(OR(D512="",F512=""),"",D512/5*F512)</f>
        <v/>
      </c>
    </row>
    <row r="513" customFormat="false" ht="15" hidden="false" customHeight="true" outlineLevel="0" collapsed="false">
      <c r="A513" s="30"/>
      <c r="C513" s="30"/>
      <c r="F513" s="9" t="str">
        <f aca="false">IF(C513="","",IFERROR(INDEX('Sub-principles'!$E$2:$E$11,MATCH(C513,'Sub-principles'!$A$2:$A$11,0)),""))</f>
        <v/>
      </c>
      <c r="G513" s="33" t="str">
        <f aca="false">IF(OR(D513="",F513=""),"",D513/5*F513)</f>
        <v/>
      </c>
    </row>
    <row r="514" customFormat="false" ht="15" hidden="false" customHeight="true" outlineLevel="0" collapsed="false">
      <c r="A514" s="30"/>
      <c r="C514" s="30"/>
      <c r="F514" s="9" t="str">
        <f aca="false">IF(C514="","",IFERROR(INDEX('Sub-principles'!$E$2:$E$11,MATCH(C514,'Sub-principles'!$A$2:$A$11,0)),""))</f>
        <v/>
      </c>
      <c r="G514" s="33" t="str">
        <f aca="false">IF(OR(D514="",F514=""),"",D514/5*F514)</f>
        <v/>
      </c>
    </row>
    <row r="515" customFormat="false" ht="15" hidden="false" customHeight="true" outlineLevel="0" collapsed="false">
      <c r="A515" s="30"/>
      <c r="C515" s="30"/>
      <c r="F515" s="9" t="str">
        <f aca="false">IF(C515="","",IFERROR(INDEX('Sub-principles'!$E$2:$E$11,MATCH(C515,'Sub-principles'!$A$2:$A$11,0)),""))</f>
        <v/>
      </c>
      <c r="G515" s="33" t="str">
        <f aca="false">IF(OR(D515="",F515=""),"",D515/5*F515)</f>
        <v/>
      </c>
    </row>
    <row r="516" customFormat="false" ht="15" hidden="false" customHeight="true" outlineLevel="0" collapsed="false">
      <c r="A516" s="30"/>
      <c r="C516" s="30"/>
      <c r="F516" s="9" t="str">
        <f aca="false">IF(C516="","",IFERROR(INDEX('Sub-principles'!$E$2:$E$11,MATCH(C516,'Sub-principles'!$A$2:$A$11,0)),""))</f>
        <v/>
      </c>
      <c r="G516" s="33" t="str">
        <f aca="false">IF(OR(D516="",F516=""),"",D516/5*F516)</f>
        <v/>
      </c>
    </row>
    <row r="517" customFormat="false" ht="15" hidden="false" customHeight="true" outlineLevel="0" collapsed="false">
      <c r="A517" s="30"/>
      <c r="C517" s="30"/>
      <c r="F517" s="9" t="str">
        <f aca="false">IF(C517="","",IFERROR(INDEX('Sub-principles'!$E$2:$E$11,MATCH(C517,'Sub-principles'!$A$2:$A$11,0)),""))</f>
        <v/>
      </c>
      <c r="G517" s="33" t="str">
        <f aca="false">IF(OR(D517="",F517=""),"",D517/5*F517)</f>
        <v/>
      </c>
    </row>
    <row r="518" customFormat="false" ht="15" hidden="false" customHeight="true" outlineLevel="0" collapsed="false">
      <c r="A518" s="30"/>
      <c r="C518" s="30"/>
      <c r="F518" s="9" t="str">
        <f aca="false">IF(C518="","",IFERROR(INDEX('Sub-principles'!$E$2:$E$11,MATCH(C518,'Sub-principles'!$A$2:$A$11,0)),""))</f>
        <v/>
      </c>
      <c r="G518" s="33" t="str">
        <f aca="false">IF(OR(D518="",F518=""),"",D518/5*F518)</f>
        <v/>
      </c>
    </row>
    <row r="519" customFormat="false" ht="15" hidden="false" customHeight="true" outlineLevel="0" collapsed="false">
      <c r="A519" s="30"/>
      <c r="C519" s="30"/>
      <c r="F519" s="9" t="str">
        <f aca="false">IF(C519="","",IFERROR(INDEX('Sub-principles'!$E$2:$E$11,MATCH(C519,'Sub-principles'!$A$2:$A$11,0)),""))</f>
        <v/>
      </c>
      <c r="G519" s="33" t="str">
        <f aca="false">IF(OR(D519="",F519=""),"",D519/5*F519)</f>
        <v/>
      </c>
    </row>
    <row r="520" customFormat="false" ht="15" hidden="false" customHeight="true" outlineLevel="0" collapsed="false">
      <c r="A520" s="30"/>
      <c r="C520" s="30"/>
      <c r="F520" s="9" t="str">
        <f aca="false">IF(C520="","",IFERROR(INDEX('Sub-principles'!$E$2:$E$11,MATCH(C520,'Sub-principles'!$A$2:$A$11,0)),""))</f>
        <v/>
      </c>
      <c r="G520" s="33" t="str">
        <f aca="false">IF(OR(D520="",F520=""),"",D520/5*F520)</f>
        <v/>
      </c>
    </row>
    <row r="521" customFormat="false" ht="15" hidden="false" customHeight="true" outlineLevel="0" collapsed="false">
      <c r="A521" s="30"/>
      <c r="C521" s="30"/>
      <c r="F521" s="9" t="str">
        <f aca="false">IF(C521="","",IFERROR(INDEX('Sub-principles'!$E$2:$E$11,MATCH(C521,'Sub-principles'!$A$2:$A$11,0)),""))</f>
        <v/>
      </c>
      <c r="G521" s="33" t="str">
        <f aca="false">IF(OR(D521="",F521=""),"",D521/5*F521)</f>
        <v/>
      </c>
    </row>
    <row r="522" customFormat="false" ht="15" hidden="false" customHeight="true" outlineLevel="0" collapsed="false">
      <c r="A522" s="30"/>
      <c r="C522" s="30"/>
      <c r="F522" s="9" t="str">
        <f aca="false">IF(C522="","",IFERROR(INDEX('Sub-principles'!$E$2:$E$11,MATCH(C522,'Sub-principles'!$A$2:$A$11,0)),""))</f>
        <v/>
      </c>
      <c r="G522" s="33" t="str">
        <f aca="false">IF(OR(D522="",F522=""),"",D522/5*F522)</f>
        <v/>
      </c>
    </row>
    <row r="523" customFormat="false" ht="15" hidden="false" customHeight="true" outlineLevel="0" collapsed="false">
      <c r="A523" s="30"/>
      <c r="C523" s="30"/>
      <c r="F523" s="9" t="str">
        <f aca="false">IF(C523="","",IFERROR(INDEX('Sub-principles'!$E$2:$E$11,MATCH(C523,'Sub-principles'!$A$2:$A$11,0)),""))</f>
        <v/>
      </c>
      <c r="G523" s="33" t="str">
        <f aca="false">IF(OR(D523="",F523=""),"",D523/5*F523)</f>
        <v/>
      </c>
    </row>
    <row r="524" customFormat="false" ht="15" hidden="false" customHeight="true" outlineLevel="0" collapsed="false">
      <c r="A524" s="30"/>
      <c r="C524" s="30"/>
      <c r="F524" s="9" t="str">
        <f aca="false">IF(C524="","",IFERROR(INDEX('Sub-principles'!$E$2:$E$11,MATCH(C524,'Sub-principles'!$A$2:$A$11,0)),""))</f>
        <v/>
      </c>
      <c r="G524" s="33" t="str">
        <f aca="false">IF(OR(D524="",F524=""),"",D524/5*F524)</f>
        <v/>
      </c>
    </row>
    <row r="525" customFormat="false" ht="15" hidden="false" customHeight="true" outlineLevel="0" collapsed="false">
      <c r="A525" s="30"/>
      <c r="C525" s="30"/>
      <c r="F525" s="9" t="str">
        <f aca="false">IF(C525="","",IFERROR(INDEX('Sub-principles'!$E$2:$E$11,MATCH(C525,'Sub-principles'!$A$2:$A$11,0)),""))</f>
        <v/>
      </c>
      <c r="G525" s="33" t="str">
        <f aca="false">IF(OR(D525="",F525=""),"",D525/5*F525)</f>
        <v/>
      </c>
    </row>
    <row r="526" customFormat="false" ht="15" hidden="false" customHeight="true" outlineLevel="0" collapsed="false">
      <c r="A526" s="30"/>
      <c r="C526" s="30"/>
      <c r="F526" s="9" t="str">
        <f aca="false">IF(C526="","",IFERROR(INDEX('Sub-principles'!$E$2:$E$11,MATCH(C526,'Sub-principles'!$A$2:$A$11,0)),""))</f>
        <v/>
      </c>
      <c r="G526" s="33" t="str">
        <f aca="false">IF(OR(D526="",F526=""),"",D526/5*F526)</f>
        <v/>
      </c>
    </row>
    <row r="527" customFormat="false" ht="15" hidden="false" customHeight="true" outlineLevel="0" collapsed="false">
      <c r="A527" s="30"/>
      <c r="C527" s="30"/>
      <c r="F527" s="9" t="str">
        <f aca="false">IF(C527="","",IFERROR(INDEX('Sub-principles'!$E$2:$E$11,MATCH(C527,'Sub-principles'!$A$2:$A$11,0)),""))</f>
        <v/>
      </c>
      <c r="G527" s="33" t="str">
        <f aca="false">IF(OR(D527="",F527=""),"",D527/5*F527)</f>
        <v/>
      </c>
    </row>
    <row r="528" customFormat="false" ht="15" hidden="false" customHeight="true" outlineLevel="0" collapsed="false">
      <c r="A528" s="30"/>
      <c r="C528" s="30"/>
      <c r="F528" s="9" t="str">
        <f aca="false">IF(C528="","",IFERROR(INDEX('Sub-principles'!$E$2:$E$11,MATCH(C528,'Sub-principles'!$A$2:$A$11,0)),""))</f>
        <v/>
      </c>
      <c r="G528" s="33" t="str">
        <f aca="false">IF(OR(D528="",F528=""),"",D528/5*F528)</f>
        <v/>
      </c>
    </row>
    <row r="529" customFormat="false" ht="15" hidden="false" customHeight="true" outlineLevel="0" collapsed="false">
      <c r="A529" s="30"/>
      <c r="C529" s="30"/>
      <c r="F529" s="9" t="str">
        <f aca="false">IF(C529="","",IFERROR(INDEX('Sub-principles'!$E$2:$E$11,MATCH(C529,'Sub-principles'!$A$2:$A$11,0)),""))</f>
        <v/>
      </c>
      <c r="G529" s="33" t="str">
        <f aca="false">IF(OR(D529="",F529=""),"",D529/5*F529)</f>
        <v/>
      </c>
    </row>
    <row r="530" customFormat="false" ht="15" hidden="false" customHeight="true" outlineLevel="0" collapsed="false">
      <c r="A530" s="30"/>
      <c r="C530" s="30"/>
      <c r="F530" s="9" t="str">
        <f aca="false">IF(C530="","",IFERROR(INDEX('Sub-principles'!$E$2:$E$11,MATCH(C530,'Sub-principles'!$A$2:$A$11,0)),""))</f>
        <v/>
      </c>
      <c r="G530" s="33" t="str">
        <f aca="false">IF(OR(D530="",F530=""),"",D530/5*F530)</f>
        <v/>
      </c>
    </row>
    <row r="531" customFormat="false" ht="15" hidden="false" customHeight="true" outlineLevel="0" collapsed="false">
      <c r="A531" s="30"/>
      <c r="C531" s="30"/>
      <c r="F531" s="9" t="str">
        <f aca="false">IF(C531="","",IFERROR(INDEX('Sub-principles'!$E$2:$E$11,MATCH(C531,'Sub-principles'!$A$2:$A$11,0)),""))</f>
        <v/>
      </c>
      <c r="G531" s="33" t="str">
        <f aca="false">IF(OR(D531="",F531=""),"",D531/5*F531)</f>
        <v/>
      </c>
    </row>
    <row r="532" customFormat="false" ht="15" hidden="false" customHeight="true" outlineLevel="0" collapsed="false">
      <c r="A532" s="30"/>
      <c r="C532" s="30"/>
      <c r="F532" s="9" t="str">
        <f aca="false">IF(C532="","",IFERROR(INDEX('Sub-principles'!$E$2:$E$11,MATCH(C532,'Sub-principles'!$A$2:$A$11,0)),""))</f>
        <v/>
      </c>
      <c r="G532" s="33" t="str">
        <f aca="false">IF(OR(D532="",F532=""),"",D532/5*F532)</f>
        <v/>
      </c>
    </row>
    <row r="533" customFormat="false" ht="15" hidden="false" customHeight="true" outlineLevel="0" collapsed="false">
      <c r="A533" s="30"/>
      <c r="C533" s="30"/>
      <c r="F533" s="9" t="str">
        <f aca="false">IF(C533="","",IFERROR(INDEX('Sub-principles'!$E$2:$E$11,MATCH(C533,'Sub-principles'!$A$2:$A$11,0)),""))</f>
        <v/>
      </c>
      <c r="G533" s="33" t="str">
        <f aca="false">IF(OR(D533="",F533=""),"",D533/5*F533)</f>
        <v/>
      </c>
    </row>
    <row r="534" customFormat="false" ht="15" hidden="false" customHeight="true" outlineLevel="0" collapsed="false">
      <c r="A534" s="30"/>
      <c r="C534" s="30"/>
      <c r="F534" s="9" t="str">
        <f aca="false">IF(C534="","",IFERROR(INDEX('Sub-principles'!$E$2:$E$11,MATCH(C534,'Sub-principles'!$A$2:$A$11,0)),""))</f>
        <v/>
      </c>
      <c r="G534" s="33" t="str">
        <f aca="false">IF(OR(D534="",F534=""),"",D534/5*F534)</f>
        <v/>
      </c>
    </row>
    <row r="535" customFormat="false" ht="15" hidden="false" customHeight="true" outlineLevel="0" collapsed="false">
      <c r="A535" s="30"/>
      <c r="C535" s="30"/>
      <c r="F535" s="9" t="str">
        <f aca="false">IF(C535="","",IFERROR(INDEX('Sub-principles'!$E$2:$E$11,MATCH(C535,'Sub-principles'!$A$2:$A$11,0)),""))</f>
        <v/>
      </c>
      <c r="G535" s="33" t="str">
        <f aca="false">IF(OR(D535="",F535=""),"",D535/5*F535)</f>
        <v/>
      </c>
    </row>
    <row r="536" customFormat="false" ht="15" hidden="false" customHeight="true" outlineLevel="0" collapsed="false">
      <c r="A536" s="30"/>
      <c r="C536" s="30"/>
      <c r="F536" s="9" t="str">
        <f aca="false">IF(C536="","",IFERROR(INDEX('Sub-principles'!$E$2:$E$11,MATCH(C536,'Sub-principles'!$A$2:$A$11,0)),""))</f>
        <v/>
      </c>
      <c r="G536" s="33" t="str">
        <f aca="false">IF(OR(D536="",F536=""),"",D536/5*F536)</f>
        <v/>
      </c>
    </row>
    <row r="537" customFormat="false" ht="15" hidden="false" customHeight="true" outlineLevel="0" collapsed="false">
      <c r="A537" s="30"/>
      <c r="C537" s="30"/>
      <c r="F537" s="9" t="str">
        <f aca="false">IF(C537="","",IFERROR(INDEX('Sub-principles'!$E$2:$E$11,MATCH(C537,'Sub-principles'!$A$2:$A$11,0)),""))</f>
        <v/>
      </c>
      <c r="G537" s="33" t="str">
        <f aca="false">IF(OR(D537="",F537=""),"",D537/5*F537)</f>
        <v/>
      </c>
    </row>
    <row r="538" customFormat="false" ht="15" hidden="false" customHeight="true" outlineLevel="0" collapsed="false">
      <c r="A538" s="30"/>
      <c r="C538" s="30"/>
      <c r="F538" s="9" t="str">
        <f aca="false">IF(C538="","",IFERROR(INDEX('Sub-principles'!$E$2:$E$11,MATCH(C538,'Sub-principles'!$A$2:$A$11,0)),""))</f>
        <v/>
      </c>
      <c r="G538" s="33" t="str">
        <f aca="false">IF(OR(D538="",F538=""),"",D538/5*F538)</f>
        <v/>
      </c>
    </row>
    <row r="539" customFormat="false" ht="15" hidden="false" customHeight="true" outlineLevel="0" collapsed="false">
      <c r="A539" s="30"/>
      <c r="C539" s="30"/>
      <c r="F539" s="9" t="str">
        <f aca="false">IF(C539="","",IFERROR(INDEX('Sub-principles'!$E$2:$E$11,MATCH(C539,'Sub-principles'!$A$2:$A$11,0)),""))</f>
        <v/>
      </c>
      <c r="G539" s="33" t="str">
        <f aca="false">IF(OR(D539="",F539=""),"",D539/5*F539)</f>
        <v/>
      </c>
    </row>
    <row r="540" customFormat="false" ht="15" hidden="false" customHeight="true" outlineLevel="0" collapsed="false">
      <c r="A540" s="30"/>
      <c r="C540" s="30"/>
      <c r="F540" s="9" t="str">
        <f aca="false">IF(C540="","",IFERROR(INDEX('Sub-principles'!$E$2:$E$11,MATCH(C540,'Sub-principles'!$A$2:$A$11,0)),""))</f>
        <v/>
      </c>
      <c r="G540" s="33" t="str">
        <f aca="false">IF(OR(D540="",F540=""),"",D540/5*F540)</f>
        <v/>
      </c>
    </row>
    <row r="541" customFormat="false" ht="15" hidden="false" customHeight="true" outlineLevel="0" collapsed="false">
      <c r="A541" s="30"/>
      <c r="C541" s="30"/>
      <c r="F541" s="9" t="str">
        <f aca="false">IF(C541="","",IFERROR(INDEX('Sub-principles'!$E$2:$E$11,MATCH(C541,'Sub-principles'!$A$2:$A$11,0)),""))</f>
        <v/>
      </c>
      <c r="G541" s="33" t="str">
        <f aca="false">IF(OR(D541="",F541=""),"",D541/5*F541)</f>
        <v/>
      </c>
    </row>
    <row r="542" customFormat="false" ht="15" hidden="false" customHeight="true" outlineLevel="0" collapsed="false">
      <c r="A542" s="30"/>
      <c r="C542" s="30"/>
      <c r="F542" s="9" t="str">
        <f aca="false">IF(C542="","",IFERROR(INDEX('Sub-principles'!$E$2:$E$11,MATCH(C542,'Sub-principles'!$A$2:$A$11,0)),""))</f>
        <v/>
      </c>
      <c r="G542" s="33" t="str">
        <f aca="false">IF(OR(D542="",F542=""),"",D542/5*F542)</f>
        <v/>
      </c>
    </row>
    <row r="543" customFormat="false" ht="15" hidden="false" customHeight="true" outlineLevel="0" collapsed="false">
      <c r="A543" s="30"/>
      <c r="C543" s="30"/>
      <c r="F543" s="9" t="str">
        <f aca="false">IF(C543="","",IFERROR(INDEX('Sub-principles'!$E$2:$E$11,MATCH(C543,'Sub-principles'!$A$2:$A$11,0)),""))</f>
        <v/>
      </c>
      <c r="G543" s="33" t="str">
        <f aca="false">IF(OR(D543="",F543=""),"",D543/5*F543)</f>
        <v/>
      </c>
    </row>
    <row r="544" customFormat="false" ht="15" hidden="false" customHeight="true" outlineLevel="0" collapsed="false">
      <c r="A544" s="30"/>
      <c r="C544" s="30"/>
      <c r="F544" s="9" t="str">
        <f aca="false">IF(C544="","",IFERROR(INDEX('Sub-principles'!$E$2:$E$11,MATCH(C544,'Sub-principles'!$A$2:$A$11,0)),""))</f>
        <v/>
      </c>
      <c r="G544" s="33" t="str">
        <f aca="false">IF(OR(D544="",F544=""),"",D544/5*F544)</f>
        <v/>
      </c>
    </row>
    <row r="545" customFormat="false" ht="15" hidden="false" customHeight="true" outlineLevel="0" collapsed="false">
      <c r="A545" s="30"/>
      <c r="C545" s="30"/>
      <c r="F545" s="9" t="str">
        <f aca="false">IF(C545="","",IFERROR(INDEX('Sub-principles'!$E$2:$E$11,MATCH(C545,'Sub-principles'!$A$2:$A$11,0)),""))</f>
        <v/>
      </c>
      <c r="G545" s="33" t="str">
        <f aca="false">IF(OR(D545="",F545=""),"",D545/5*F545)</f>
        <v/>
      </c>
    </row>
    <row r="546" customFormat="false" ht="15" hidden="false" customHeight="true" outlineLevel="0" collapsed="false">
      <c r="A546" s="30"/>
      <c r="C546" s="30"/>
      <c r="F546" s="9" t="str">
        <f aca="false">IF(C546="","",IFERROR(INDEX('Sub-principles'!$E$2:$E$11,MATCH(C546,'Sub-principles'!$A$2:$A$11,0)),""))</f>
        <v/>
      </c>
      <c r="G546" s="33" t="str">
        <f aca="false">IF(OR(D546="",F546=""),"",D546/5*F546)</f>
        <v/>
      </c>
    </row>
    <row r="547" customFormat="false" ht="15" hidden="false" customHeight="true" outlineLevel="0" collapsed="false">
      <c r="A547" s="30"/>
      <c r="C547" s="30"/>
      <c r="F547" s="9" t="str">
        <f aca="false">IF(C547="","",IFERROR(INDEX('Sub-principles'!$E$2:$E$11,MATCH(C547,'Sub-principles'!$A$2:$A$11,0)),""))</f>
        <v/>
      </c>
      <c r="G547" s="33" t="str">
        <f aca="false">IF(OR(D547="",F547=""),"",D547/5*F547)</f>
        <v/>
      </c>
    </row>
    <row r="548" customFormat="false" ht="15" hidden="false" customHeight="true" outlineLevel="0" collapsed="false">
      <c r="A548" s="30"/>
      <c r="C548" s="30"/>
      <c r="F548" s="9" t="str">
        <f aca="false">IF(C548="","",IFERROR(INDEX('Sub-principles'!$E$2:$E$11,MATCH(C548,'Sub-principles'!$A$2:$A$11,0)),""))</f>
        <v/>
      </c>
      <c r="G548" s="33" t="str">
        <f aca="false">IF(OR(D548="",F548=""),"",D548/5*F548)</f>
        <v/>
      </c>
    </row>
    <row r="549" customFormat="false" ht="15" hidden="false" customHeight="true" outlineLevel="0" collapsed="false">
      <c r="A549" s="30"/>
      <c r="C549" s="30"/>
      <c r="F549" s="9" t="str">
        <f aca="false">IF(C549="","",IFERROR(INDEX('Sub-principles'!$E$2:$E$11,MATCH(C549,'Sub-principles'!$A$2:$A$11,0)),""))</f>
        <v/>
      </c>
      <c r="G549" s="33" t="str">
        <f aca="false">IF(OR(D549="",F549=""),"",D549/5*F549)</f>
        <v/>
      </c>
    </row>
    <row r="550" customFormat="false" ht="15" hidden="false" customHeight="true" outlineLevel="0" collapsed="false">
      <c r="A550" s="30"/>
      <c r="C550" s="30"/>
      <c r="F550" s="9" t="str">
        <f aca="false">IF(C550="","",IFERROR(INDEX('Sub-principles'!$E$2:$E$11,MATCH(C550,'Sub-principles'!$A$2:$A$11,0)),""))</f>
        <v/>
      </c>
      <c r="G550" s="33" t="str">
        <f aca="false">IF(OR(D550="",F550=""),"",D550/5*F550)</f>
        <v/>
      </c>
    </row>
    <row r="551" customFormat="false" ht="15" hidden="false" customHeight="true" outlineLevel="0" collapsed="false">
      <c r="A551" s="30"/>
      <c r="C551" s="30"/>
      <c r="F551" s="9" t="str">
        <f aca="false">IF(C551="","",IFERROR(INDEX('Sub-principles'!$E$2:$E$11,MATCH(C551,'Sub-principles'!$A$2:$A$11,0)),""))</f>
        <v/>
      </c>
      <c r="G551" s="33" t="str">
        <f aca="false">IF(OR(D551="",F551=""),"",D551/5*F551)</f>
        <v/>
      </c>
    </row>
    <row r="552" customFormat="false" ht="15" hidden="false" customHeight="true" outlineLevel="0" collapsed="false">
      <c r="A552" s="30"/>
      <c r="C552" s="30"/>
      <c r="F552" s="9" t="str">
        <f aca="false">IF(C552="","",IFERROR(INDEX('Sub-principles'!$E$2:$E$11,MATCH(C552,'Sub-principles'!$A$2:$A$11,0)),""))</f>
        <v/>
      </c>
      <c r="G552" s="33" t="str">
        <f aca="false">IF(OR(D552="",F552=""),"",D552/5*F552)</f>
        <v/>
      </c>
    </row>
    <row r="553" customFormat="false" ht="15" hidden="false" customHeight="true" outlineLevel="0" collapsed="false">
      <c r="A553" s="30"/>
      <c r="C553" s="30"/>
      <c r="F553" s="9" t="str">
        <f aca="false">IF(C553="","",IFERROR(INDEX('Sub-principles'!$E$2:$E$11,MATCH(C553,'Sub-principles'!$A$2:$A$11,0)),""))</f>
        <v/>
      </c>
      <c r="G553" s="33" t="str">
        <f aca="false">IF(OR(D553="",F553=""),"",D553/5*F553)</f>
        <v/>
      </c>
    </row>
    <row r="554" customFormat="false" ht="15" hidden="false" customHeight="true" outlineLevel="0" collapsed="false">
      <c r="A554" s="30"/>
      <c r="C554" s="30"/>
      <c r="F554" s="9" t="str">
        <f aca="false">IF(C554="","",IFERROR(INDEX('Sub-principles'!$E$2:$E$11,MATCH(C554,'Sub-principles'!$A$2:$A$11,0)),""))</f>
        <v/>
      </c>
      <c r="G554" s="33" t="str">
        <f aca="false">IF(OR(D554="",F554=""),"",D554/5*F554)</f>
        <v/>
      </c>
    </row>
    <row r="555" customFormat="false" ht="15" hidden="false" customHeight="true" outlineLevel="0" collapsed="false">
      <c r="A555" s="30"/>
      <c r="C555" s="30"/>
      <c r="F555" s="9" t="str">
        <f aca="false">IF(C555="","",IFERROR(INDEX('Sub-principles'!$E$2:$E$11,MATCH(C555,'Sub-principles'!$A$2:$A$11,0)),""))</f>
        <v/>
      </c>
      <c r="G555" s="33" t="str">
        <f aca="false">IF(OR(D555="",F555=""),"",D555/5*F555)</f>
        <v/>
      </c>
    </row>
    <row r="556" customFormat="false" ht="15" hidden="false" customHeight="true" outlineLevel="0" collapsed="false">
      <c r="A556" s="30"/>
      <c r="C556" s="30"/>
      <c r="F556" s="9" t="str">
        <f aca="false">IF(C556="","",IFERROR(INDEX('Sub-principles'!$E$2:$E$11,MATCH(C556,'Sub-principles'!$A$2:$A$11,0)),""))</f>
        <v/>
      </c>
      <c r="G556" s="33" t="str">
        <f aca="false">IF(OR(D556="",F556=""),"",D556/5*F556)</f>
        <v/>
      </c>
    </row>
    <row r="557" customFormat="false" ht="15" hidden="false" customHeight="true" outlineLevel="0" collapsed="false">
      <c r="A557" s="30"/>
      <c r="C557" s="30"/>
      <c r="F557" s="9" t="str">
        <f aca="false">IF(C557="","",IFERROR(INDEX('Sub-principles'!$E$2:$E$11,MATCH(C557,'Sub-principles'!$A$2:$A$11,0)),""))</f>
        <v/>
      </c>
      <c r="G557" s="33" t="str">
        <f aca="false">IF(OR(D557="",F557=""),"",D557/5*F557)</f>
        <v/>
      </c>
    </row>
    <row r="558" customFormat="false" ht="15" hidden="false" customHeight="true" outlineLevel="0" collapsed="false">
      <c r="A558" s="30"/>
      <c r="C558" s="30"/>
      <c r="F558" s="9" t="str">
        <f aca="false">IF(C558="","",IFERROR(INDEX('Sub-principles'!$E$2:$E$11,MATCH(C558,'Sub-principles'!$A$2:$A$11,0)),""))</f>
        <v/>
      </c>
      <c r="G558" s="33" t="str">
        <f aca="false">IF(OR(D558="",F558=""),"",D558/5*F558)</f>
        <v/>
      </c>
    </row>
    <row r="559" customFormat="false" ht="15" hidden="false" customHeight="true" outlineLevel="0" collapsed="false">
      <c r="A559" s="30"/>
      <c r="C559" s="30"/>
      <c r="F559" s="9" t="str">
        <f aca="false">IF(C559="","",IFERROR(INDEX('Sub-principles'!$E$2:$E$11,MATCH(C559,'Sub-principles'!$A$2:$A$11,0)),""))</f>
        <v/>
      </c>
      <c r="G559" s="33" t="str">
        <f aca="false">IF(OR(D559="",F559=""),"",D559/5*F559)</f>
        <v/>
      </c>
    </row>
    <row r="560" customFormat="false" ht="15" hidden="false" customHeight="true" outlineLevel="0" collapsed="false">
      <c r="A560" s="30"/>
      <c r="C560" s="30"/>
      <c r="F560" s="9" t="str">
        <f aca="false">IF(C560="","",IFERROR(INDEX('Sub-principles'!$E$2:$E$11,MATCH(C560,'Sub-principles'!$A$2:$A$11,0)),""))</f>
        <v/>
      </c>
      <c r="G560" s="33" t="str">
        <f aca="false">IF(OR(D560="",F560=""),"",D560/5*F560)</f>
        <v/>
      </c>
    </row>
    <row r="561" customFormat="false" ht="15" hidden="false" customHeight="true" outlineLevel="0" collapsed="false">
      <c r="A561" s="30"/>
      <c r="C561" s="30"/>
      <c r="F561" s="9" t="str">
        <f aca="false">IF(C561="","",IFERROR(INDEX('Sub-principles'!$E$2:$E$11,MATCH(C561,'Sub-principles'!$A$2:$A$11,0)),""))</f>
        <v/>
      </c>
      <c r="G561" s="33" t="str">
        <f aca="false">IF(OR(D561="",F561=""),"",D561/5*F561)</f>
        <v/>
      </c>
    </row>
    <row r="562" customFormat="false" ht="15" hidden="false" customHeight="true" outlineLevel="0" collapsed="false">
      <c r="A562" s="30"/>
      <c r="C562" s="30"/>
      <c r="F562" s="9" t="str">
        <f aca="false">IF(C562="","",IFERROR(INDEX('Sub-principles'!$E$2:$E$11,MATCH(C562,'Sub-principles'!$A$2:$A$11,0)),""))</f>
        <v/>
      </c>
      <c r="G562" s="33" t="str">
        <f aca="false">IF(OR(D562="",F562=""),"",D562/5*F562)</f>
        <v/>
      </c>
    </row>
    <row r="563" customFormat="false" ht="15" hidden="false" customHeight="true" outlineLevel="0" collapsed="false">
      <c r="A563" s="30"/>
      <c r="C563" s="30"/>
      <c r="F563" s="9" t="str">
        <f aca="false">IF(C563="","",IFERROR(INDEX('Sub-principles'!$E$2:$E$11,MATCH(C563,'Sub-principles'!$A$2:$A$11,0)),""))</f>
        <v/>
      </c>
      <c r="G563" s="33" t="str">
        <f aca="false">IF(OR(D563="",F563=""),"",D563/5*F563)</f>
        <v/>
      </c>
    </row>
    <row r="564" customFormat="false" ht="15" hidden="false" customHeight="true" outlineLevel="0" collapsed="false">
      <c r="A564" s="30"/>
      <c r="C564" s="30"/>
      <c r="F564" s="9" t="str">
        <f aca="false">IF(C564="","",IFERROR(INDEX('Sub-principles'!$E$2:$E$11,MATCH(C564,'Sub-principles'!$A$2:$A$11,0)),""))</f>
        <v/>
      </c>
      <c r="G564" s="33" t="str">
        <f aca="false">IF(OR(D564="",F564=""),"",D564/5*F564)</f>
        <v/>
      </c>
    </row>
    <row r="565" customFormat="false" ht="15" hidden="false" customHeight="true" outlineLevel="0" collapsed="false">
      <c r="A565" s="30"/>
      <c r="C565" s="30"/>
      <c r="F565" s="9" t="str">
        <f aca="false">IF(C565="","",IFERROR(INDEX('Sub-principles'!$E$2:$E$11,MATCH(C565,'Sub-principles'!$A$2:$A$11,0)),""))</f>
        <v/>
      </c>
      <c r="G565" s="33" t="str">
        <f aca="false">IF(OR(D565="",F565=""),"",D565/5*F565)</f>
        <v/>
      </c>
    </row>
    <row r="566" customFormat="false" ht="15" hidden="false" customHeight="true" outlineLevel="0" collapsed="false">
      <c r="A566" s="30"/>
      <c r="C566" s="30"/>
      <c r="F566" s="9" t="str">
        <f aca="false">IF(C566="","",IFERROR(INDEX('Sub-principles'!$E$2:$E$11,MATCH(C566,'Sub-principles'!$A$2:$A$11,0)),""))</f>
        <v/>
      </c>
      <c r="G566" s="33" t="str">
        <f aca="false">IF(OR(D566="",F566=""),"",D566/5*F566)</f>
        <v/>
      </c>
    </row>
    <row r="567" customFormat="false" ht="15" hidden="false" customHeight="true" outlineLevel="0" collapsed="false">
      <c r="A567" s="30"/>
      <c r="C567" s="30"/>
      <c r="F567" s="9" t="str">
        <f aca="false">IF(C567="","",IFERROR(INDEX('Sub-principles'!$E$2:$E$11,MATCH(C567,'Sub-principles'!$A$2:$A$11,0)),""))</f>
        <v/>
      </c>
      <c r="G567" s="33" t="str">
        <f aca="false">IF(OR(D567="",F567=""),"",D567/5*F567)</f>
        <v/>
      </c>
    </row>
    <row r="568" customFormat="false" ht="15" hidden="false" customHeight="true" outlineLevel="0" collapsed="false">
      <c r="A568" s="30"/>
      <c r="C568" s="30"/>
      <c r="F568" s="9" t="str">
        <f aca="false">IF(C568="","",IFERROR(INDEX('Sub-principles'!$E$2:$E$11,MATCH(C568,'Sub-principles'!$A$2:$A$11,0)),""))</f>
        <v/>
      </c>
      <c r="G568" s="33" t="str">
        <f aca="false">IF(OR(D568="",F568=""),"",D568/5*F568)</f>
        <v/>
      </c>
    </row>
    <row r="569" customFormat="false" ht="15" hidden="false" customHeight="true" outlineLevel="0" collapsed="false">
      <c r="A569" s="30"/>
      <c r="C569" s="30"/>
      <c r="F569" s="9" t="str">
        <f aca="false">IF(C569="","",IFERROR(INDEX('Sub-principles'!$E$2:$E$11,MATCH(C569,'Sub-principles'!$A$2:$A$11,0)),""))</f>
        <v/>
      </c>
      <c r="G569" s="33" t="str">
        <f aca="false">IF(OR(D569="",F569=""),"",D569/5*F569)</f>
        <v/>
      </c>
    </row>
    <row r="570" customFormat="false" ht="15" hidden="false" customHeight="true" outlineLevel="0" collapsed="false">
      <c r="A570" s="30"/>
      <c r="C570" s="30"/>
      <c r="F570" s="9" t="str">
        <f aca="false">IF(C570="","",IFERROR(INDEX('Sub-principles'!$E$2:$E$11,MATCH(C570,'Sub-principles'!$A$2:$A$11,0)),""))</f>
        <v/>
      </c>
      <c r="G570" s="33" t="str">
        <f aca="false">IF(OR(D570="",F570=""),"",D570/5*F570)</f>
        <v/>
      </c>
    </row>
    <row r="571" customFormat="false" ht="15" hidden="false" customHeight="true" outlineLevel="0" collapsed="false">
      <c r="A571" s="30"/>
      <c r="C571" s="30"/>
      <c r="F571" s="9" t="str">
        <f aca="false">IF(C571="","",IFERROR(INDEX('Sub-principles'!$E$2:$E$11,MATCH(C571,'Sub-principles'!$A$2:$A$11,0)),""))</f>
        <v/>
      </c>
      <c r="G571" s="33" t="str">
        <f aca="false">IF(OR(D571="",F571=""),"",D571/5*F571)</f>
        <v/>
      </c>
    </row>
    <row r="572" customFormat="false" ht="15" hidden="false" customHeight="true" outlineLevel="0" collapsed="false">
      <c r="A572" s="30"/>
      <c r="C572" s="30"/>
      <c r="F572" s="9" t="str">
        <f aca="false">IF(C572="","",IFERROR(INDEX('Sub-principles'!$E$2:$E$11,MATCH(C572,'Sub-principles'!$A$2:$A$11,0)),""))</f>
        <v/>
      </c>
      <c r="G572" s="33" t="str">
        <f aca="false">IF(OR(D572="",F572=""),"",D572/5*F572)</f>
        <v/>
      </c>
    </row>
    <row r="573" customFormat="false" ht="15" hidden="false" customHeight="true" outlineLevel="0" collapsed="false">
      <c r="A573" s="30"/>
      <c r="C573" s="30"/>
      <c r="F573" s="9" t="str">
        <f aca="false">IF(C573="","",IFERROR(INDEX('Sub-principles'!$E$2:$E$11,MATCH(C573,'Sub-principles'!$A$2:$A$11,0)),""))</f>
        <v/>
      </c>
      <c r="G573" s="33" t="str">
        <f aca="false">IF(OR(D573="",F573=""),"",D573/5*F573)</f>
        <v/>
      </c>
    </row>
    <row r="574" customFormat="false" ht="15" hidden="false" customHeight="true" outlineLevel="0" collapsed="false">
      <c r="A574" s="30"/>
      <c r="C574" s="30"/>
      <c r="F574" s="9" t="str">
        <f aca="false">IF(C574="","",IFERROR(INDEX('Sub-principles'!$E$2:$E$11,MATCH(C574,'Sub-principles'!$A$2:$A$11,0)),""))</f>
        <v/>
      </c>
      <c r="G574" s="33" t="str">
        <f aca="false">IF(OR(D574="",F574=""),"",D574/5*F574)</f>
        <v/>
      </c>
    </row>
    <row r="575" customFormat="false" ht="15" hidden="false" customHeight="true" outlineLevel="0" collapsed="false">
      <c r="A575" s="30"/>
      <c r="C575" s="30"/>
      <c r="F575" s="9" t="str">
        <f aca="false">IF(C575="","",IFERROR(INDEX('Sub-principles'!$E$2:$E$11,MATCH(C575,'Sub-principles'!$A$2:$A$11,0)),""))</f>
        <v/>
      </c>
      <c r="G575" s="33" t="str">
        <f aca="false">IF(OR(D575="",F575=""),"",D575/5*F575)</f>
        <v/>
      </c>
    </row>
    <row r="576" customFormat="false" ht="15" hidden="false" customHeight="true" outlineLevel="0" collapsed="false">
      <c r="A576" s="30"/>
      <c r="C576" s="30"/>
      <c r="F576" s="9" t="str">
        <f aca="false">IF(C576="","",IFERROR(INDEX('Sub-principles'!$E$2:$E$11,MATCH(C576,'Sub-principles'!$A$2:$A$11,0)),""))</f>
        <v/>
      </c>
      <c r="G576" s="33" t="str">
        <f aca="false">IF(OR(D576="",F576=""),"",D576/5*F576)</f>
        <v/>
      </c>
    </row>
    <row r="577" customFormat="false" ht="15" hidden="false" customHeight="true" outlineLevel="0" collapsed="false">
      <c r="A577" s="30"/>
      <c r="C577" s="30"/>
      <c r="F577" s="9" t="str">
        <f aca="false">IF(C577="","",IFERROR(INDEX('Sub-principles'!$E$2:$E$11,MATCH(C577,'Sub-principles'!$A$2:$A$11,0)),""))</f>
        <v/>
      </c>
      <c r="G577" s="33" t="str">
        <f aca="false">IF(OR(D577="",F577=""),"",D577/5*F577)</f>
        <v/>
      </c>
    </row>
    <row r="578" customFormat="false" ht="15" hidden="false" customHeight="true" outlineLevel="0" collapsed="false">
      <c r="A578" s="30"/>
      <c r="C578" s="30"/>
      <c r="F578" s="9" t="str">
        <f aca="false">IF(C578="","",IFERROR(INDEX('Sub-principles'!$E$2:$E$11,MATCH(C578,'Sub-principles'!$A$2:$A$11,0)),""))</f>
        <v/>
      </c>
      <c r="G578" s="33" t="str">
        <f aca="false">IF(OR(D578="",F578=""),"",D578/5*F578)</f>
        <v/>
      </c>
    </row>
    <row r="579" customFormat="false" ht="15" hidden="false" customHeight="true" outlineLevel="0" collapsed="false">
      <c r="A579" s="30"/>
      <c r="C579" s="30"/>
      <c r="F579" s="9" t="str">
        <f aca="false">IF(C579="","",IFERROR(INDEX('Sub-principles'!$E$2:$E$11,MATCH(C579,'Sub-principles'!$A$2:$A$11,0)),""))</f>
        <v/>
      </c>
      <c r="G579" s="33" t="str">
        <f aca="false">IF(OR(D579="",F579=""),"",D579/5*F579)</f>
        <v/>
      </c>
    </row>
    <row r="580" customFormat="false" ht="15" hidden="false" customHeight="true" outlineLevel="0" collapsed="false">
      <c r="A580" s="30"/>
      <c r="C580" s="30"/>
      <c r="F580" s="9" t="str">
        <f aca="false">IF(C580="","",IFERROR(INDEX('Sub-principles'!$E$2:$E$11,MATCH(C580,'Sub-principles'!$A$2:$A$11,0)),""))</f>
        <v/>
      </c>
      <c r="G580" s="33" t="str">
        <f aca="false">IF(OR(D580="",F580=""),"",D580/5*F580)</f>
        <v/>
      </c>
    </row>
    <row r="581" customFormat="false" ht="15" hidden="false" customHeight="true" outlineLevel="0" collapsed="false">
      <c r="A581" s="30"/>
      <c r="C581" s="30"/>
      <c r="F581" s="9" t="str">
        <f aca="false">IF(C581="","",IFERROR(INDEX('Sub-principles'!$E$2:$E$11,MATCH(C581,'Sub-principles'!$A$2:$A$11,0)),""))</f>
        <v/>
      </c>
      <c r="G581" s="33" t="str">
        <f aca="false">IF(OR(D581="",F581=""),"",D581/5*F581)</f>
        <v/>
      </c>
    </row>
    <row r="582" customFormat="false" ht="15" hidden="false" customHeight="true" outlineLevel="0" collapsed="false">
      <c r="A582" s="30"/>
      <c r="C582" s="30"/>
      <c r="F582" s="9" t="str">
        <f aca="false">IF(C582="","",IFERROR(INDEX('Sub-principles'!$E$2:$E$11,MATCH(C582,'Sub-principles'!$A$2:$A$11,0)),""))</f>
        <v/>
      </c>
      <c r="G582" s="33" t="str">
        <f aca="false">IF(OR(D582="",F582=""),"",D582/5*F582)</f>
        <v/>
      </c>
    </row>
    <row r="583" customFormat="false" ht="15" hidden="false" customHeight="true" outlineLevel="0" collapsed="false">
      <c r="A583" s="30"/>
      <c r="C583" s="30"/>
      <c r="F583" s="9" t="str">
        <f aca="false">IF(C583="","",IFERROR(INDEX('Sub-principles'!$E$2:$E$11,MATCH(C583,'Sub-principles'!$A$2:$A$11,0)),""))</f>
        <v/>
      </c>
      <c r="G583" s="33" t="str">
        <f aca="false">IF(OR(D583="",F583=""),"",D583/5*F583)</f>
        <v/>
      </c>
    </row>
    <row r="584" customFormat="false" ht="15" hidden="false" customHeight="true" outlineLevel="0" collapsed="false">
      <c r="A584" s="30"/>
      <c r="C584" s="30"/>
      <c r="F584" s="9" t="str">
        <f aca="false">IF(C584="","",IFERROR(INDEX('Sub-principles'!$E$2:$E$11,MATCH(C584,'Sub-principles'!$A$2:$A$11,0)),""))</f>
        <v/>
      </c>
      <c r="G584" s="33" t="str">
        <f aca="false">IF(OR(D584="",F584=""),"",D584/5*F584)</f>
        <v/>
      </c>
    </row>
    <row r="585" customFormat="false" ht="15" hidden="false" customHeight="true" outlineLevel="0" collapsed="false">
      <c r="A585" s="30"/>
      <c r="C585" s="30"/>
      <c r="F585" s="9" t="str">
        <f aca="false">IF(C585="","",IFERROR(INDEX('Sub-principles'!$E$2:$E$11,MATCH(C585,'Sub-principles'!$A$2:$A$11,0)),""))</f>
        <v/>
      </c>
      <c r="G585" s="33" t="str">
        <f aca="false">IF(OR(D585="",F585=""),"",D585/5*F585)</f>
        <v/>
      </c>
    </row>
    <row r="586" customFormat="false" ht="15" hidden="false" customHeight="true" outlineLevel="0" collapsed="false">
      <c r="A586" s="30"/>
      <c r="C586" s="30"/>
      <c r="F586" s="9" t="str">
        <f aca="false">IF(C586="","",IFERROR(INDEX('Sub-principles'!$E$2:$E$11,MATCH(C586,'Sub-principles'!$A$2:$A$11,0)),""))</f>
        <v/>
      </c>
      <c r="G586" s="33" t="str">
        <f aca="false">IF(OR(D586="",F586=""),"",D586/5*F586)</f>
        <v/>
      </c>
    </row>
    <row r="587" customFormat="false" ht="15" hidden="false" customHeight="true" outlineLevel="0" collapsed="false">
      <c r="A587" s="30"/>
      <c r="C587" s="30"/>
      <c r="F587" s="9" t="str">
        <f aca="false">IF(C587="","",IFERROR(INDEX('Sub-principles'!$E$2:$E$11,MATCH(C587,'Sub-principles'!$A$2:$A$11,0)),""))</f>
        <v/>
      </c>
      <c r="G587" s="33" t="str">
        <f aca="false">IF(OR(D587="",F587=""),"",D587/5*F587)</f>
        <v/>
      </c>
    </row>
    <row r="588" customFormat="false" ht="15" hidden="false" customHeight="true" outlineLevel="0" collapsed="false">
      <c r="A588" s="30"/>
      <c r="C588" s="30"/>
      <c r="F588" s="9" t="str">
        <f aca="false">IF(C588="","",IFERROR(INDEX('Sub-principles'!$E$2:$E$11,MATCH(C588,'Sub-principles'!$A$2:$A$11,0)),""))</f>
        <v/>
      </c>
      <c r="G588" s="33" t="str">
        <f aca="false">IF(OR(D588="",F588=""),"",D588/5*F588)</f>
        <v/>
      </c>
    </row>
    <row r="589" customFormat="false" ht="15" hidden="false" customHeight="true" outlineLevel="0" collapsed="false">
      <c r="A589" s="30"/>
      <c r="C589" s="30"/>
      <c r="F589" s="9" t="str">
        <f aca="false">IF(C589="","",IFERROR(INDEX('Sub-principles'!$E$2:$E$11,MATCH(C589,'Sub-principles'!$A$2:$A$11,0)),""))</f>
        <v/>
      </c>
      <c r="G589" s="33" t="str">
        <f aca="false">IF(OR(D589="",F589=""),"",D589/5*F589)</f>
        <v/>
      </c>
    </row>
    <row r="590" customFormat="false" ht="15" hidden="false" customHeight="true" outlineLevel="0" collapsed="false">
      <c r="A590" s="30"/>
      <c r="C590" s="30"/>
      <c r="F590" s="9" t="str">
        <f aca="false">IF(C590="","",IFERROR(INDEX('Sub-principles'!$E$2:$E$11,MATCH(C590,'Sub-principles'!$A$2:$A$11,0)),""))</f>
        <v/>
      </c>
      <c r="G590" s="33" t="str">
        <f aca="false">IF(OR(D590="",F590=""),"",D590/5*F590)</f>
        <v/>
      </c>
    </row>
    <row r="591" customFormat="false" ht="15" hidden="false" customHeight="true" outlineLevel="0" collapsed="false">
      <c r="A591" s="30"/>
      <c r="C591" s="30"/>
      <c r="F591" s="9" t="str">
        <f aca="false">IF(C591="","",IFERROR(INDEX('Sub-principles'!$E$2:$E$11,MATCH(C591,'Sub-principles'!$A$2:$A$11,0)),""))</f>
        <v/>
      </c>
      <c r="G591" s="33" t="str">
        <f aca="false">IF(OR(D591="",F591=""),"",D591/5*F591)</f>
        <v/>
      </c>
    </row>
    <row r="592" customFormat="false" ht="15" hidden="false" customHeight="true" outlineLevel="0" collapsed="false">
      <c r="A592" s="30"/>
      <c r="C592" s="30"/>
      <c r="F592" s="9" t="str">
        <f aca="false">IF(C592="","",IFERROR(INDEX('Sub-principles'!$E$2:$E$11,MATCH(C592,'Sub-principles'!$A$2:$A$11,0)),""))</f>
        <v/>
      </c>
      <c r="G592" s="33" t="str">
        <f aca="false">IF(OR(D592="",F592=""),"",D592/5*F592)</f>
        <v/>
      </c>
    </row>
    <row r="593" customFormat="false" ht="15" hidden="false" customHeight="true" outlineLevel="0" collapsed="false">
      <c r="A593" s="30"/>
      <c r="C593" s="30"/>
      <c r="F593" s="9" t="str">
        <f aca="false">IF(C593="","",IFERROR(INDEX('Sub-principles'!$E$2:$E$11,MATCH(C593,'Sub-principles'!$A$2:$A$11,0)),""))</f>
        <v/>
      </c>
      <c r="G593" s="33" t="str">
        <f aca="false">IF(OR(D593="",F593=""),"",D593/5*F593)</f>
        <v/>
      </c>
    </row>
    <row r="594" customFormat="false" ht="15" hidden="false" customHeight="true" outlineLevel="0" collapsed="false">
      <c r="A594" s="30"/>
      <c r="C594" s="30"/>
      <c r="F594" s="9" t="str">
        <f aca="false">IF(C594="","",IFERROR(INDEX('Sub-principles'!$E$2:$E$11,MATCH(C594,'Sub-principles'!$A$2:$A$11,0)),""))</f>
        <v/>
      </c>
      <c r="G594" s="33" t="str">
        <f aca="false">IF(OR(D594="",F594=""),"",D594/5*F594)</f>
        <v/>
      </c>
    </row>
    <row r="595" customFormat="false" ht="15" hidden="false" customHeight="true" outlineLevel="0" collapsed="false">
      <c r="A595" s="30"/>
      <c r="C595" s="30"/>
      <c r="F595" s="9" t="str">
        <f aca="false">IF(C595="","",IFERROR(INDEX('Sub-principles'!$E$2:$E$11,MATCH(C595,'Sub-principles'!$A$2:$A$11,0)),""))</f>
        <v/>
      </c>
      <c r="G595" s="33" t="str">
        <f aca="false">IF(OR(D595="",F595=""),"",D595/5*F595)</f>
        <v/>
      </c>
    </row>
    <row r="596" customFormat="false" ht="15" hidden="false" customHeight="true" outlineLevel="0" collapsed="false">
      <c r="A596" s="30"/>
      <c r="C596" s="30"/>
      <c r="F596" s="9" t="str">
        <f aca="false">IF(C596="","",IFERROR(INDEX('Sub-principles'!$E$2:$E$11,MATCH(C596,'Sub-principles'!$A$2:$A$11,0)),""))</f>
        <v/>
      </c>
      <c r="G596" s="33" t="str">
        <f aca="false">IF(OR(D596="",F596=""),"",D596/5*F596)</f>
        <v/>
      </c>
    </row>
    <row r="597" customFormat="false" ht="15" hidden="false" customHeight="true" outlineLevel="0" collapsed="false">
      <c r="A597" s="30"/>
      <c r="C597" s="30"/>
      <c r="F597" s="9" t="str">
        <f aca="false">IF(C597="","",IFERROR(INDEX('Sub-principles'!$E$2:$E$11,MATCH(C597,'Sub-principles'!$A$2:$A$11,0)),""))</f>
        <v/>
      </c>
      <c r="G597" s="33" t="str">
        <f aca="false">IF(OR(D597="",F597=""),"",D597/5*F597)</f>
        <v/>
      </c>
    </row>
    <row r="598" customFormat="false" ht="15" hidden="false" customHeight="true" outlineLevel="0" collapsed="false">
      <c r="A598" s="30"/>
      <c r="C598" s="30"/>
      <c r="F598" s="9" t="str">
        <f aca="false">IF(C598="","",IFERROR(INDEX('Sub-principles'!$E$2:$E$11,MATCH(C598,'Sub-principles'!$A$2:$A$11,0)),""))</f>
        <v/>
      </c>
      <c r="G598" s="33" t="str">
        <f aca="false">IF(OR(D598="",F598=""),"",D598/5*F598)</f>
        <v/>
      </c>
    </row>
    <row r="599" customFormat="false" ht="15" hidden="false" customHeight="true" outlineLevel="0" collapsed="false">
      <c r="A599" s="30"/>
      <c r="C599" s="30"/>
      <c r="F599" s="9" t="str">
        <f aca="false">IF(C599="","",IFERROR(INDEX('Sub-principles'!$E$2:$E$11,MATCH(C599,'Sub-principles'!$A$2:$A$11,0)),""))</f>
        <v/>
      </c>
      <c r="G599" s="33" t="str">
        <f aca="false">IF(OR(D599="",F599=""),"",D599/5*F599)</f>
        <v/>
      </c>
    </row>
    <row r="600" customFormat="false" ht="15" hidden="false" customHeight="true" outlineLevel="0" collapsed="false">
      <c r="A600" s="30"/>
      <c r="C600" s="30"/>
      <c r="F600" s="9" t="str">
        <f aca="false">IF(C600="","",IFERROR(INDEX('Sub-principles'!$E$2:$E$11,MATCH(C600,'Sub-principles'!$A$2:$A$11,0)),""))</f>
        <v/>
      </c>
      <c r="G600" s="33" t="str">
        <f aca="false">IF(OR(D600="",F600=""),"",D600/5*F600)</f>
        <v/>
      </c>
    </row>
    <row r="601" customFormat="false" ht="15" hidden="false" customHeight="true" outlineLevel="0" collapsed="false">
      <c r="A601" s="30"/>
      <c r="C601" s="30"/>
      <c r="F601" s="9" t="str">
        <f aca="false">IF(C601="","",IFERROR(INDEX('Sub-principles'!$E$2:$E$11,MATCH(C601,'Sub-principles'!$A$2:$A$11,0)),""))</f>
        <v/>
      </c>
      <c r="G601" s="33" t="str">
        <f aca="false">IF(OR(D601="",F601=""),"",D601/5*F601)</f>
        <v/>
      </c>
    </row>
    <row r="602" customFormat="false" ht="15" hidden="false" customHeight="true" outlineLevel="0" collapsed="false">
      <c r="A602" s="30"/>
      <c r="C602" s="30"/>
      <c r="F602" s="9" t="str">
        <f aca="false">IF(C602="","",IFERROR(INDEX('Sub-principles'!$E$2:$E$11,MATCH(C602,'Sub-principles'!$A$2:$A$11,0)),""))</f>
        <v/>
      </c>
      <c r="G602" s="33" t="str">
        <f aca="false">IF(OR(D602="",F602=""),"",D602/5*F602)</f>
        <v/>
      </c>
    </row>
    <row r="603" customFormat="false" ht="15" hidden="false" customHeight="true" outlineLevel="0" collapsed="false">
      <c r="A603" s="30"/>
      <c r="C603" s="30"/>
      <c r="F603" s="9" t="str">
        <f aca="false">IF(C603="","",IFERROR(INDEX('Sub-principles'!$E$2:$E$11,MATCH(C603,'Sub-principles'!$A$2:$A$11,0)),""))</f>
        <v/>
      </c>
      <c r="G603" s="33" t="str">
        <f aca="false">IF(OR(D603="",F603=""),"",D603/5*F603)</f>
        <v/>
      </c>
    </row>
    <row r="604" customFormat="false" ht="15" hidden="false" customHeight="true" outlineLevel="0" collapsed="false">
      <c r="A604" s="30"/>
      <c r="C604" s="30"/>
      <c r="F604" s="9" t="str">
        <f aca="false">IF(C604="","",IFERROR(INDEX('Sub-principles'!$E$2:$E$11,MATCH(C604,'Sub-principles'!$A$2:$A$11,0)),""))</f>
        <v/>
      </c>
      <c r="G604" s="33" t="str">
        <f aca="false">IF(OR(D604="",F604=""),"",D604/5*F604)</f>
        <v/>
      </c>
    </row>
    <row r="605" customFormat="false" ht="15" hidden="false" customHeight="true" outlineLevel="0" collapsed="false">
      <c r="A605" s="30"/>
      <c r="C605" s="30"/>
      <c r="F605" s="9" t="str">
        <f aca="false">IF(C605="","",IFERROR(INDEX('Sub-principles'!$E$2:$E$11,MATCH(C605,'Sub-principles'!$A$2:$A$11,0)),""))</f>
        <v/>
      </c>
      <c r="G605" s="33" t="str">
        <f aca="false">IF(OR(D605="",F605=""),"",D605/5*F605)</f>
        <v/>
      </c>
    </row>
    <row r="606" customFormat="false" ht="15" hidden="false" customHeight="true" outlineLevel="0" collapsed="false">
      <c r="A606" s="30"/>
      <c r="C606" s="30"/>
      <c r="F606" s="9" t="str">
        <f aca="false">IF(C606="","",IFERROR(INDEX('Sub-principles'!$E$2:$E$11,MATCH(C606,'Sub-principles'!$A$2:$A$11,0)),""))</f>
        <v/>
      </c>
      <c r="G606" s="33" t="str">
        <f aca="false">IF(OR(D606="",F606=""),"",D606/5*F606)</f>
        <v/>
      </c>
    </row>
    <row r="607" customFormat="false" ht="15" hidden="false" customHeight="true" outlineLevel="0" collapsed="false">
      <c r="A607" s="30"/>
      <c r="C607" s="30"/>
      <c r="F607" s="9" t="str">
        <f aca="false">IF(C607="","",IFERROR(INDEX('Sub-principles'!$E$2:$E$11,MATCH(C607,'Sub-principles'!$A$2:$A$11,0)),""))</f>
        <v/>
      </c>
      <c r="G607" s="33" t="str">
        <f aca="false">IF(OR(D607="",F607=""),"",D607/5*F607)</f>
        <v/>
      </c>
    </row>
    <row r="608" customFormat="false" ht="15" hidden="false" customHeight="true" outlineLevel="0" collapsed="false">
      <c r="A608" s="30"/>
      <c r="C608" s="30"/>
      <c r="F608" s="9" t="str">
        <f aca="false">IF(C608="","",IFERROR(INDEX('Sub-principles'!$E$2:$E$11,MATCH(C608,'Sub-principles'!$A$2:$A$11,0)),""))</f>
        <v/>
      </c>
      <c r="G608" s="33" t="str">
        <f aca="false">IF(OR(D608="",F608=""),"",D608/5*F608)</f>
        <v/>
      </c>
    </row>
    <row r="609" customFormat="false" ht="15" hidden="false" customHeight="true" outlineLevel="0" collapsed="false">
      <c r="A609" s="30"/>
      <c r="C609" s="30"/>
      <c r="F609" s="9" t="str">
        <f aca="false">IF(C609="","",IFERROR(INDEX('Sub-principles'!$E$2:$E$11,MATCH(C609,'Sub-principles'!$A$2:$A$11,0)),""))</f>
        <v/>
      </c>
      <c r="G609" s="33" t="str">
        <f aca="false">IF(OR(D609="",F609=""),"",D609/5*F609)</f>
        <v/>
      </c>
    </row>
    <row r="610" customFormat="false" ht="15" hidden="false" customHeight="true" outlineLevel="0" collapsed="false">
      <c r="A610" s="30"/>
      <c r="C610" s="30"/>
      <c r="F610" s="9" t="str">
        <f aca="false">IF(C610="","",IFERROR(INDEX('Sub-principles'!$E$2:$E$11,MATCH(C610,'Sub-principles'!$A$2:$A$11,0)),""))</f>
        <v/>
      </c>
      <c r="G610" s="33" t="str">
        <f aca="false">IF(OR(D610="",F610=""),"",D610/5*F610)</f>
        <v/>
      </c>
    </row>
    <row r="611" customFormat="false" ht="15" hidden="false" customHeight="true" outlineLevel="0" collapsed="false">
      <c r="A611" s="30"/>
      <c r="C611" s="30"/>
      <c r="F611" s="9" t="str">
        <f aca="false">IF(C611="","",IFERROR(INDEX('Sub-principles'!$E$2:$E$11,MATCH(C611,'Sub-principles'!$A$2:$A$11,0)),""))</f>
        <v/>
      </c>
      <c r="G611" s="33" t="str">
        <f aca="false">IF(OR(D611="",F611=""),"",D611/5*F611)</f>
        <v/>
      </c>
    </row>
    <row r="612" customFormat="false" ht="15" hidden="false" customHeight="true" outlineLevel="0" collapsed="false">
      <c r="A612" s="30"/>
      <c r="C612" s="30"/>
      <c r="F612" s="9" t="str">
        <f aca="false">IF(C612="","",IFERROR(INDEX('Sub-principles'!$E$2:$E$11,MATCH(C612,'Sub-principles'!$A$2:$A$11,0)),""))</f>
        <v/>
      </c>
      <c r="G612" s="33" t="str">
        <f aca="false">IF(OR(D612="",F612=""),"",D612/5*F612)</f>
        <v/>
      </c>
    </row>
    <row r="613" customFormat="false" ht="15" hidden="false" customHeight="true" outlineLevel="0" collapsed="false">
      <c r="A613" s="30"/>
      <c r="C613" s="30"/>
      <c r="F613" s="9" t="str">
        <f aca="false">IF(C613="","",IFERROR(INDEX('Sub-principles'!$E$2:$E$11,MATCH(C613,'Sub-principles'!$A$2:$A$11,0)),""))</f>
        <v/>
      </c>
      <c r="G613" s="33" t="str">
        <f aca="false">IF(OR(D613="",F613=""),"",D613/5*F613)</f>
        <v/>
      </c>
    </row>
    <row r="614" customFormat="false" ht="15" hidden="false" customHeight="true" outlineLevel="0" collapsed="false">
      <c r="A614" s="30"/>
      <c r="C614" s="30"/>
      <c r="F614" s="9" t="str">
        <f aca="false">IF(C614="","",IFERROR(INDEX('Sub-principles'!$E$2:$E$11,MATCH(C614,'Sub-principles'!$A$2:$A$11,0)),""))</f>
        <v/>
      </c>
      <c r="G614" s="33" t="str">
        <f aca="false">IF(OR(D614="",F614=""),"",D614/5*F614)</f>
        <v/>
      </c>
    </row>
    <row r="615" customFormat="false" ht="15" hidden="false" customHeight="true" outlineLevel="0" collapsed="false">
      <c r="A615" s="30"/>
      <c r="C615" s="30"/>
      <c r="F615" s="9" t="str">
        <f aca="false">IF(C615="","",IFERROR(INDEX('Sub-principles'!$E$2:$E$11,MATCH(C615,'Sub-principles'!$A$2:$A$11,0)),""))</f>
        <v/>
      </c>
      <c r="G615" s="33" t="str">
        <f aca="false">IF(OR(D615="",F615=""),"",D615/5*F615)</f>
        <v/>
      </c>
    </row>
    <row r="616" customFormat="false" ht="15" hidden="false" customHeight="true" outlineLevel="0" collapsed="false">
      <c r="A616" s="30"/>
      <c r="C616" s="30"/>
      <c r="F616" s="9" t="str">
        <f aca="false">IF(C616="","",IFERROR(INDEX('Sub-principles'!$E$2:$E$11,MATCH(C616,'Sub-principles'!$A$2:$A$11,0)),""))</f>
        <v/>
      </c>
      <c r="G616" s="33" t="str">
        <f aca="false">IF(OR(D616="",F616=""),"",D616/5*F616)</f>
        <v/>
      </c>
    </row>
    <row r="617" customFormat="false" ht="15" hidden="false" customHeight="true" outlineLevel="0" collapsed="false">
      <c r="A617" s="30"/>
      <c r="C617" s="30"/>
      <c r="F617" s="9" t="str">
        <f aca="false">IF(C617="","",IFERROR(INDEX('Sub-principles'!$E$2:$E$11,MATCH(C617,'Sub-principles'!$A$2:$A$11,0)),""))</f>
        <v/>
      </c>
      <c r="G617" s="33" t="str">
        <f aca="false">IF(OR(D617="",F617=""),"",D617/5*F617)</f>
        <v/>
      </c>
    </row>
    <row r="618" customFormat="false" ht="15" hidden="false" customHeight="true" outlineLevel="0" collapsed="false">
      <c r="A618" s="30"/>
      <c r="C618" s="30"/>
      <c r="F618" s="9" t="str">
        <f aca="false">IF(C618="","",IFERROR(INDEX('Sub-principles'!$E$2:$E$11,MATCH(C618,'Sub-principles'!$A$2:$A$11,0)),""))</f>
        <v/>
      </c>
      <c r="G618" s="33" t="str">
        <f aca="false">IF(OR(D618="",F618=""),"",D618/5*F618)</f>
        <v/>
      </c>
    </row>
    <row r="619" customFormat="false" ht="15" hidden="false" customHeight="true" outlineLevel="0" collapsed="false">
      <c r="A619" s="30"/>
      <c r="C619" s="30"/>
      <c r="F619" s="9" t="str">
        <f aca="false">IF(C619="","",IFERROR(INDEX('Sub-principles'!$E$2:$E$11,MATCH(C619,'Sub-principles'!$A$2:$A$11,0)),""))</f>
        <v/>
      </c>
      <c r="G619" s="33" t="str">
        <f aca="false">IF(OR(D619="",F619=""),"",D619/5*F619)</f>
        <v/>
      </c>
    </row>
    <row r="620" customFormat="false" ht="15" hidden="false" customHeight="true" outlineLevel="0" collapsed="false">
      <c r="A620" s="30"/>
      <c r="C620" s="30"/>
      <c r="F620" s="9" t="str">
        <f aca="false">IF(C620="","",IFERROR(INDEX('Sub-principles'!$E$2:$E$11,MATCH(C620,'Sub-principles'!$A$2:$A$11,0)),""))</f>
        <v/>
      </c>
      <c r="G620" s="33" t="str">
        <f aca="false">IF(OR(D620="",F620=""),"",D620/5*F620)</f>
        <v/>
      </c>
    </row>
    <row r="621" customFormat="false" ht="15" hidden="false" customHeight="true" outlineLevel="0" collapsed="false">
      <c r="A621" s="30"/>
      <c r="C621" s="30"/>
      <c r="F621" s="9" t="str">
        <f aca="false">IF(C621="","",IFERROR(INDEX('Sub-principles'!$E$2:$E$11,MATCH(C621,'Sub-principles'!$A$2:$A$11,0)),""))</f>
        <v/>
      </c>
      <c r="G621" s="33" t="str">
        <f aca="false">IF(OR(D621="",F621=""),"",D621/5*F621)</f>
        <v/>
      </c>
    </row>
    <row r="622" customFormat="false" ht="15" hidden="false" customHeight="true" outlineLevel="0" collapsed="false">
      <c r="A622" s="30"/>
      <c r="C622" s="30"/>
      <c r="F622" s="9" t="str">
        <f aca="false">IF(C622="","",IFERROR(INDEX('Sub-principles'!$E$2:$E$11,MATCH(C622,'Sub-principles'!$A$2:$A$11,0)),""))</f>
        <v/>
      </c>
      <c r="G622" s="33" t="str">
        <f aca="false">IF(OR(D622="",F622=""),"",D622/5*F622)</f>
        <v/>
      </c>
    </row>
    <row r="623" customFormat="false" ht="15" hidden="false" customHeight="true" outlineLevel="0" collapsed="false">
      <c r="A623" s="30"/>
      <c r="C623" s="30"/>
      <c r="F623" s="9" t="str">
        <f aca="false">IF(C623="","",IFERROR(INDEX('Sub-principles'!$E$2:$E$11,MATCH(C623,'Sub-principles'!$A$2:$A$11,0)),""))</f>
        <v/>
      </c>
      <c r="G623" s="33" t="str">
        <f aca="false">IF(OR(D623="",F623=""),"",D623/5*F623)</f>
        <v/>
      </c>
    </row>
    <row r="624" customFormat="false" ht="15" hidden="false" customHeight="true" outlineLevel="0" collapsed="false">
      <c r="A624" s="30"/>
      <c r="C624" s="30"/>
      <c r="F624" s="9" t="str">
        <f aca="false">IF(C624="","",IFERROR(INDEX('Sub-principles'!$E$2:$E$11,MATCH(C624,'Sub-principles'!$A$2:$A$11,0)),""))</f>
        <v/>
      </c>
      <c r="G624" s="33" t="str">
        <f aca="false">IF(OR(D624="",F624=""),"",D624/5*F624)</f>
        <v/>
      </c>
    </row>
    <row r="625" customFormat="false" ht="15" hidden="false" customHeight="true" outlineLevel="0" collapsed="false">
      <c r="A625" s="30"/>
      <c r="C625" s="30"/>
      <c r="F625" s="9" t="str">
        <f aca="false">IF(C625="","",IFERROR(INDEX('Sub-principles'!$E$2:$E$11,MATCH(C625,'Sub-principles'!$A$2:$A$11,0)),""))</f>
        <v/>
      </c>
      <c r="G625" s="33" t="str">
        <f aca="false">IF(OR(D625="",F625=""),"",D625/5*F625)</f>
        <v/>
      </c>
    </row>
    <row r="626" customFormat="false" ht="15" hidden="false" customHeight="true" outlineLevel="0" collapsed="false">
      <c r="A626" s="30"/>
      <c r="C626" s="30"/>
      <c r="F626" s="9" t="str">
        <f aca="false">IF(C626="","",IFERROR(INDEX('Sub-principles'!$E$2:$E$11,MATCH(C626,'Sub-principles'!$A$2:$A$11,0)),""))</f>
        <v/>
      </c>
      <c r="G626" s="33" t="str">
        <f aca="false">IF(OR(D626="",F626=""),"",D626/5*F626)</f>
        <v/>
      </c>
    </row>
    <row r="627" customFormat="false" ht="15" hidden="false" customHeight="true" outlineLevel="0" collapsed="false">
      <c r="A627" s="30"/>
      <c r="C627" s="30"/>
      <c r="F627" s="9" t="str">
        <f aca="false">IF(C627="","",IFERROR(INDEX('Sub-principles'!$E$2:$E$11,MATCH(C627,'Sub-principles'!$A$2:$A$11,0)),""))</f>
        <v/>
      </c>
      <c r="G627" s="33" t="str">
        <f aca="false">IF(OR(D627="",F627=""),"",D627/5*F627)</f>
        <v/>
      </c>
    </row>
    <row r="628" customFormat="false" ht="15" hidden="false" customHeight="true" outlineLevel="0" collapsed="false">
      <c r="A628" s="30"/>
      <c r="C628" s="30"/>
      <c r="F628" s="9" t="str">
        <f aca="false">IF(C628="","",IFERROR(INDEX('Sub-principles'!$E$2:$E$11,MATCH(C628,'Sub-principles'!$A$2:$A$11,0)),""))</f>
        <v/>
      </c>
      <c r="G628" s="33" t="str">
        <f aca="false">IF(OR(D628="",F628=""),"",D628/5*F628)</f>
        <v/>
      </c>
    </row>
    <row r="629" customFormat="false" ht="15" hidden="false" customHeight="true" outlineLevel="0" collapsed="false">
      <c r="A629" s="30"/>
      <c r="C629" s="30"/>
      <c r="F629" s="9" t="str">
        <f aca="false">IF(C629="","",IFERROR(INDEX('Sub-principles'!$E$2:$E$11,MATCH(C629,'Sub-principles'!$A$2:$A$11,0)),""))</f>
        <v/>
      </c>
      <c r="G629" s="33" t="str">
        <f aca="false">IF(OR(D629="",F629=""),"",D629/5*F629)</f>
        <v/>
      </c>
    </row>
    <row r="630" customFormat="false" ht="15" hidden="false" customHeight="true" outlineLevel="0" collapsed="false">
      <c r="A630" s="30"/>
      <c r="C630" s="30"/>
      <c r="F630" s="9" t="str">
        <f aca="false">IF(C630="","",IFERROR(INDEX('Sub-principles'!$E$2:$E$11,MATCH(C630,'Sub-principles'!$A$2:$A$11,0)),""))</f>
        <v/>
      </c>
      <c r="G630" s="33" t="str">
        <f aca="false">IF(OR(D630="",F630=""),"",D630/5*F630)</f>
        <v/>
      </c>
    </row>
    <row r="631" customFormat="false" ht="15" hidden="false" customHeight="true" outlineLevel="0" collapsed="false">
      <c r="A631" s="30"/>
      <c r="C631" s="30"/>
      <c r="F631" s="9" t="str">
        <f aca="false">IF(C631="","",IFERROR(INDEX('Sub-principles'!$E$2:$E$11,MATCH(C631,'Sub-principles'!$A$2:$A$11,0)),""))</f>
        <v/>
      </c>
      <c r="G631" s="33" t="str">
        <f aca="false">IF(OR(D631="",F631=""),"",D631/5*F631)</f>
        <v/>
      </c>
    </row>
    <row r="632" customFormat="false" ht="15" hidden="false" customHeight="true" outlineLevel="0" collapsed="false">
      <c r="A632" s="30"/>
      <c r="C632" s="30"/>
      <c r="F632" s="9" t="str">
        <f aca="false">IF(C632="","",IFERROR(INDEX('Sub-principles'!$E$2:$E$11,MATCH(C632,'Sub-principles'!$A$2:$A$11,0)),""))</f>
        <v/>
      </c>
      <c r="G632" s="33" t="str">
        <f aca="false">IF(OR(D632="",F632=""),"",D632/5*F632)</f>
        <v/>
      </c>
    </row>
    <row r="633" customFormat="false" ht="15" hidden="false" customHeight="true" outlineLevel="0" collapsed="false">
      <c r="A633" s="30"/>
      <c r="C633" s="30"/>
      <c r="F633" s="9" t="str">
        <f aca="false">IF(C633="","",IFERROR(INDEX('Sub-principles'!$E$2:$E$11,MATCH(C633,'Sub-principles'!$A$2:$A$11,0)),""))</f>
        <v/>
      </c>
      <c r="G633" s="33" t="str">
        <f aca="false">IF(OR(D633="",F633=""),"",D633/5*F633)</f>
        <v/>
      </c>
    </row>
    <row r="634" customFormat="false" ht="15" hidden="false" customHeight="true" outlineLevel="0" collapsed="false">
      <c r="A634" s="30"/>
      <c r="C634" s="30"/>
      <c r="F634" s="9" t="str">
        <f aca="false">IF(C634="","",IFERROR(INDEX('Sub-principles'!$E$2:$E$11,MATCH(C634,'Sub-principles'!$A$2:$A$11,0)),""))</f>
        <v/>
      </c>
      <c r="G634" s="33" t="str">
        <f aca="false">IF(OR(D634="",F634=""),"",D634/5*F634)</f>
        <v/>
      </c>
    </row>
    <row r="635" customFormat="false" ht="15" hidden="false" customHeight="true" outlineLevel="0" collapsed="false">
      <c r="A635" s="30"/>
      <c r="C635" s="30"/>
      <c r="F635" s="9" t="str">
        <f aca="false">IF(C635="","",IFERROR(INDEX('Sub-principles'!$E$2:$E$11,MATCH(C635,'Sub-principles'!$A$2:$A$11,0)),""))</f>
        <v/>
      </c>
      <c r="G635" s="33" t="str">
        <f aca="false">IF(OR(D635="",F635=""),"",D635/5*F635)</f>
        <v/>
      </c>
    </row>
    <row r="636" customFormat="false" ht="15" hidden="false" customHeight="true" outlineLevel="0" collapsed="false">
      <c r="A636" s="30"/>
      <c r="C636" s="30"/>
      <c r="F636" s="9" t="str">
        <f aca="false">IF(C636="","",IFERROR(INDEX('Sub-principles'!$E$2:$E$11,MATCH(C636,'Sub-principles'!$A$2:$A$11,0)),""))</f>
        <v/>
      </c>
      <c r="G636" s="33" t="str">
        <f aca="false">IF(OR(D636="",F636=""),"",D636/5*F636)</f>
        <v/>
      </c>
    </row>
    <row r="637" customFormat="false" ht="15" hidden="false" customHeight="true" outlineLevel="0" collapsed="false">
      <c r="A637" s="30"/>
      <c r="C637" s="30"/>
      <c r="F637" s="9" t="str">
        <f aca="false">IF(C637="","",IFERROR(INDEX('Sub-principles'!$E$2:$E$11,MATCH(C637,'Sub-principles'!$A$2:$A$11,0)),""))</f>
        <v/>
      </c>
      <c r="G637" s="33" t="str">
        <f aca="false">IF(OR(D637="",F637=""),"",D637/5*F637)</f>
        <v/>
      </c>
    </row>
    <row r="638" customFormat="false" ht="15" hidden="false" customHeight="true" outlineLevel="0" collapsed="false">
      <c r="A638" s="30"/>
      <c r="C638" s="30"/>
      <c r="F638" s="9" t="str">
        <f aca="false">IF(C638="","",IFERROR(INDEX('Sub-principles'!$E$2:$E$11,MATCH(C638,'Sub-principles'!$A$2:$A$11,0)),""))</f>
        <v/>
      </c>
      <c r="G638" s="33" t="str">
        <f aca="false">IF(OR(D638="",F638=""),"",D638/5*F638)</f>
        <v/>
      </c>
    </row>
    <row r="639" customFormat="false" ht="15" hidden="false" customHeight="true" outlineLevel="0" collapsed="false">
      <c r="A639" s="30"/>
      <c r="C639" s="30"/>
      <c r="F639" s="9" t="str">
        <f aca="false">IF(C639="","",IFERROR(INDEX('Sub-principles'!$E$2:$E$11,MATCH(C639,'Sub-principles'!$A$2:$A$11,0)),""))</f>
        <v/>
      </c>
      <c r="G639" s="33" t="str">
        <f aca="false">IF(OR(D639="",F639=""),"",D639/5*F639)</f>
        <v/>
      </c>
    </row>
    <row r="640" customFormat="false" ht="15" hidden="false" customHeight="true" outlineLevel="0" collapsed="false">
      <c r="A640" s="30"/>
      <c r="C640" s="30"/>
      <c r="F640" s="9" t="str">
        <f aca="false">IF(C640="","",IFERROR(INDEX('Sub-principles'!$E$2:$E$11,MATCH(C640,'Sub-principles'!$A$2:$A$11,0)),""))</f>
        <v/>
      </c>
      <c r="G640" s="33" t="str">
        <f aca="false">IF(OR(D640="",F640=""),"",D640/5*F640)</f>
        <v/>
      </c>
    </row>
    <row r="641" customFormat="false" ht="15" hidden="false" customHeight="true" outlineLevel="0" collapsed="false">
      <c r="A641" s="30"/>
      <c r="C641" s="30"/>
      <c r="F641" s="9" t="str">
        <f aca="false">IF(C641="","",IFERROR(INDEX('Sub-principles'!$E$2:$E$11,MATCH(C641,'Sub-principles'!$A$2:$A$11,0)),""))</f>
        <v/>
      </c>
      <c r="G641" s="33" t="str">
        <f aca="false">IF(OR(D641="",F641=""),"",D641/5*F641)</f>
        <v/>
      </c>
    </row>
    <row r="642" customFormat="false" ht="15" hidden="false" customHeight="true" outlineLevel="0" collapsed="false">
      <c r="A642" s="30"/>
      <c r="C642" s="30"/>
      <c r="F642" s="9" t="str">
        <f aca="false">IF(C642="","",IFERROR(INDEX('Sub-principles'!$E$2:$E$11,MATCH(C642,'Sub-principles'!$A$2:$A$11,0)),""))</f>
        <v/>
      </c>
      <c r="G642" s="33" t="str">
        <f aca="false">IF(OR(D642="",F642=""),"",D642/5*F642)</f>
        <v/>
      </c>
    </row>
    <row r="643" customFormat="false" ht="15" hidden="false" customHeight="true" outlineLevel="0" collapsed="false">
      <c r="A643" s="30"/>
      <c r="C643" s="30"/>
      <c r="F643" s="9" t="str">
        <f aca="false">IF(C643="","",IFERROR(INDEX('Sub-principles'!$E$2:$E$11,MATCH(C643,'Sub-principles'!$A$2:$A$11,0)),""))</f>
        <v/>
      </c>
      <c r="G643" s="33" t="str">
        <f aca="false">IF(OR(D643="",F643=""),"",D643/5*F643)</f>
        <v/>
      </c>
    </row>
    <row r="644" customFormat="false" ht="15" hidden="false" customHeight="true" outlineLevel="0" collapsed="false">
      <c r="A644" s="30"/>
      <c r="C644" s="30"/>
      <c r="F644" s="9" t="str">
        <f aca="false">IF(C644="","",IFERROR(INDEX('Sub-principles'!$E$2:$E$11,MATCH(C644,'Sub-principles'!$A$2:$A$11,0)),""))</f>
        <v/>
      </c>
      <c r="G644" s="33" t="str">
        <f aca="false">IF(OR(D644="",F644=""),"",D644/5*F644)</f>
        <v/>
      </c>
    </row>
    <row r="645" customFormat="false" ht="15" hidden="false" customHeight="true" outlineLevel="0" collapsed="false">
      <c r="A645" s="30"/>
      <c r="C645" s="30"/>
      <c r="F645" s="9" t="str">
        <f aca="false">IF(C645="","",IFERROR(INDEX('Sub-principles'!$E$2:$E$11,MATCH(C645,'Sub-principles'!$A$2:$A$11,0)),""))</f>
        <v/>
      </c>
      <c r="G645" s="33" t="str">
        <f aca="false">IF(OR(D645="",F645=""),"",D645/5*F645)</f>
        <v/>
      </c>
    </row>
    <row r="646" customFormat="false" ht="15" hidden="false" customHeight="true" outlineLevel="0" collapsed="false">
      <c r="A646" s="30"/>
      <c r="C646" s="30"/>
      <c r="F646" s="9" t="str">
        <f aca="false">IF(C646="","",IFERROR(INDEX('Sub-principles'!$E$2:$E$11,MATCH(C646,'Sub-principles'!$A$2:$A$11,0)),""))</f>
        <v/>
      </c>
      <c r="G646" s="33" t="str">
        <f aca="false">IF(OR(D646="",F646=""),"",D646/5*F646)</f>
        <v/>
      </c>
    </row>
    <row r="647" customFormat="false" ht="15" hidden="false" customHeight="true" outlineLevel="0" collapsed="false">
      <c r="A647" s="30"/>
      <c r="C647" s="30"/>
      <c r="F647" s="9" t="str">
        <f aca="false">IF(C647="","",IFERROR(INDEX('Sub-principles'!$E$2:$E$11,MATCH(C647,'Sub-principles'!$A$2:$A$11,0)),""))</f>
        <v/>
      </c>
      <c r="G647" s="33" t="str">
        <f aca="false">IF(OR(D647="",F647=""),"",D647/5*F647)</f>
        <v/>
      </c>
    </row>
    <row r="648" customFormat="false" ht="15" hidden="false" customHeight="true" outlineLevel="0" collapsed="false">
      <c r="A648" s="30"/>
      <c r="C648" s="30"/>
      <c r="F648" s="9" t="str">
        <f aca="false">IF(C648="","",IFERROR(INDEX('Sub-principles'!$E$2:$E$11,MATCH(C648,'Sub-principles'!$A$2:$A$11,0)),""))</f>
        <v/>
      </c>
      <c r="G648" s="33" t="str">
        <f aca="false">IF(OR(D648="",F648=""),"",D648/5*F648)</f>
        <v/>
      </c>
    </row>
    <row r="649" customFormat="false" ht="15" hidden="false" customHeight="true" outlineLevel="0" collapsed="false">
      <c r="A649" s="30"/>
      <c r="C649" s="30"/>
      <c r="F649" s="9" t="str">
        <f aca="false">IF(C649="","",IFERROR(INDEX('Sub-principles'!$E$2:$E$11,MATCH(C649,'Sub-principles'!$A$2:$A$11,0)),""))</f>
        <v/>
      </c>
      <c r="G649" s="33" t="str">
        <f aca="false">IF(OR(D649="",F649=""),"",D649/5*F649)</f>
        <v/>
      </c>
    </row>
    <row r="650" customFormat="false" ht="15" hidden="false" customHeight="true" outlineLevel="0" collapsed="false">
      <c r="A650" s="30"/>
      <c r="C650" s="30"/>
      <c r="F650" s="9" t="str">
        <f aca="false">IF(C650="","",IFERROR(INDEX('Sub-principles'!$E$2:$E$11,MATCH(C650,'Sub-principles'!$A$2:$A$11,0)),""))</f>
        <v/>
      </c>
      <c r="G650" s="33" t="str">
        <f aca="false">IF(OR(D650="",F650=""),"",D650/5*F650)</f>
        <v/>
      </c>
    </row>
    <row r="651" customFormat="false" ht="15" hidden="false" customHeight="true" outlineLevel="0" collapsed="false">
      <c r="A651" s="30"/>
      <c r="C651" s="30"/>
      <c r="F651" s="9" t="str">
        <f aca="false">IF(C651="","",IFERROR(INDEX('Sub-principles'!$E$2:$E$11,MATCH(C651,'Sub-principles'!$A$2:$A$11,0)),""))</f>
        <v/>
      </c>
      <c r="G651" s="33" t="str">
        <f aca="false">IF(OR(D651="",F651=""),"",D651/5*F651)</f>
        <v/>
      </c>
    </row>
    <row r="652" customFormat="false" ht="15" hidden="false" customHeight="true" outlineLevel="0" collapsed="false">
      <c r="A652" s="30"/>
      <c r="C652" s="30"/>
      <c r="F652" s="9" t="str">
        <f aca="false">IF(C652="","",IFERROR(INDEX('Sub-principles'!$E$2:$E$11,MATCH(C652,'Sub-principles'!$A$2:$A$11,0)),""))</f>
        <v/>
      </c>
      <c r="G652" s="33" t="str">
        <f aca="false">IF(OR(D652="",F652=""),"",D652/5*F652)</f>
        <v/>
      </c>
    </row>
    <row r="653" customFormat="false" ht="15" hidden="false" customHeight="true" outlineLevel="0" collapsed="false">
      <c r="A653" s="30"/>
      <c r="C653" s="30"/>
      <c r="F653" s="9" t="str">
        <f aca="false">IF(C653="","",IFERROR(INDEX('Sub-principles'!$E$2:$E$11,MATCH(C653,'Sub-principles'!$A$2:$A$11,0)),""))</f>
        <v/>
      </c>
      <c r="G653" s="33" t="str">
        <f aca="false">IF(OR(D653="",F653=""),"",D653/5*F653)</f>
        <v/>
      </c>
    </row>
    <row r="654" customFormat="false" ht="15" hidden="false" customHeight="true" outlineLevel="0" collapsed="false">
      <c r="A654" s="30"/>
      <c r="C654" s="30"/>
      <c r="F654" s="9" t="str">
        <f aca="false">IF(C654="","",IFERROR(INDEX('Sub-principles'!$E$2:$E$11,MATCH(C654,'Sub-principles'!$A$2:$A$11,0)),""))</f>
        <v/>
      </c>
      <c r="G654" s="33" t="str">
        <f aca="false">IF(OR(D654="",F654=""),"",D654/5*F654)</f>
        <v/>
      </c>
    </row>
    <row r="655" customFormat="false" ht="15" hidden="false" customHeight="true" outlineLevel="0" collapsed="false">
      <c r="A655" s="30"/>
      <c r="C655" s="30"/>
      <c r="F655" s="9" t="str">
        <f aca="false">IF(C655="","",IFERROR(INDEX('Sub-principles'!$E$2:$E$11,MATCH(C655,'Sub-principles'!$A$2:$A$11,0)),""))</f>
        <v/>
      </c>
      <c r="G655" s="33" t="str">
        <f aca="false">IF(OR(D655="",F655=""),"",D655/5*F655)</f>
        <v/>
      </c>
    </row>
    <row r="656" customFormat="false" ht="15" hidden="false" customHeight="true" outlineLevel="0" collapsed="false">
      <c r="A656" s="30"/>
      <c r="C656" s="30"/>
      <c r="F656" s="9" t="str">
        <f aca="false">IF(C656="","",IFERROR(INDEX('Sub-principles'!$E$2:$E$11,MATCH(C656,'Sub-principles'!$A$2:$A$11,0)),""))</f>
        <v/>
      </c>
      <c r="G656" s="33" t="str">
        <f aca="false">IF(OR(D656="",F656=""),"",D656/5*F656)</f>
        <v/>
      </c>
    </row>
    <row r="657" customFormat="false" ht="15" hidden="false" customHeight="true" outlineLevel="0" collapsed="false">
      <c r="A657" s="30"/>
      <c r="C657" s="30"/>
      <c r="F657" s="9" t="str">
        <f aca="false">IF(C657="","",IFERROR(INDEX('Sub-principles'!$E$2:$E$11,MATCH(C657,'Sub-principles'!$A$2:$A$11,0)),""))</f>
        <v/>
      </c>
      <c r="G657" s="33" t="str">
        <f aca="false">IF(OR(D657="",F657=""),"",D657/5*F657)</f>
        <v/>
      </c>
    </row>
    <row r="658" customFormat="false" ht="15" hidden="false" customHeight="true" outlineLevel="0" collapsed="false">
      <c r="A658" s="30"/>
      <c r="C658" s="30"/>
      <c r="F658" s="9" t="str">
        <f aca="false">IF(C658="","",IFERROR(INDEX('Sub-principles'!$E$2:$E$11,MATCH(C658,'Sub-principles'!$A$2:$A$11,0)),""))</f>
        <v/>
      </c>
      <c r="G658" s="33" t="str">
        <f aca="false">IF(OR(D658="",F658=""),"",D658/5*F658)</f>
        <v/>
      </c>
    </row>
    <row r="659" customFormat="false" ht="15" hidden="false" customHeight="true" outlineLevel="0" collapsed="false">
      <c r="A659" s="30"/>
      <c r="C659" s="30"/>
      <c r="F659" s="9" t="str">
        <f aca="false">IF(C659="","",IFERROR(INDEX('Sub-principles'!$E$2:$E$11,MATCH(C659,'Sub-principles'!$A$2:$A$11,0)),""))</f>
        <v/>
      </c>
      <c r="G659" s="33" t="str">
        <f aca="false">IF(OR(D659="",F659=""),"",D659/5*F659)</f>
        <v/>
      </c>
    </row>
    <row r="660" customFormat="false" ht="15" hidden="false" customHeight="true" outlineLevel="0" collapsed="false">
      <c r="A660" s="30"/>
      <c r="C660" s="30"/>
      <c r="F660" s="9" t="str">
        <f aca="false">IF(C660="","",IFERROR(INDEX('Sub-principles'!$E$2:$E$11,MATCH(C660,'Sub-principles'!$A$2:$A$11,0)),""))</f>
        <v/>
      </c>
      <c r="G660" s="33" t="str">
        <f aca="false">IF(OR(D660="",F660=""),"",D660/5*F660)</f>
        <v/>
      </c>
    </row>
    <row r="661" customFormat="false" ht="15" hidden="false" customHeight="true" outlineLevel="0" collapsed="false">
      <c r="A661" s="30"/>
      <c r="C661" s="30"/>
      <c r="F661" s="9" t="str">
        <f aca="false">IF(C661="","",IFERROR(INDEX('Sub-principles'!$E$2:$E$11,MATCH(C661,'Sub-principles'!$A$2:$A$11,0)),""))</f>
        <v/>
      </c>
      <c r="G661" s="33" t="str">
        <f aca="false">IF(OR(D661="",F661=""),"",D661/5*F661)</f>
        <v/>
      </c>
    </row>
    <row r="662" customFormat="false" ht="15" hidden="false" customHeight="true" outlineLevel="0" collapsed="false">
      <c r="A662" s="30"/>
      <c r="C662" s="30"/>
      <c r="F662" s="9" t="str">
        <f aca="false">IF(C662="","",IFERROR(INDEX('Sub-principles'!$E$2:$E$11,MATCH(C662,'Sub-principles'!$A$2:$A$11,0)),""))</f>
        <v/>
      </c>
      <c r="G662" s="33" t="str">
        <f aca="false">IF(OR(D662="",F662=""),"",D662/5*F662)</f>
        <v/>
      </c>
    </row>
    <row r="663" customFormat="false" ht="15" hidden="false" customHeight="true" outlineLevel="0" collapsed="false">
      <c r="A663" s="30"/>
      <c r="C663" s="30"/>
      <c r="F663" s="9" t="str">
        <f aca="false">IF(C663="","",IFERROR(INDEX('Sub-principles'!$E$2:$E$11,MATCH(C663,'Sub-principles'!$A$2:$A$11,0)),""))</f>
        <v/>
      </c>
      <c r="G663" s="33" t="str">
        <f aca="false">IF(OR(D663="",F663=""),"",D663/5*F663)</f>
        <v/>
      </c>
    </row>
    <row r="664" customFormat="false" ht="15" hidden="false" customHeight="true" outlineLevel="0" collapsed="false">
      <c r="A664" s="30"/>
      <c r="C664" s="30"/>
      <c r="F664" s="9" t="str">
        <f aca="false">IF(C664="","",IFERROR(INDEX('Sub-principles'!$E$2:$E$11,MATCH(C664,'Sub-principles'!$A$2:$A$11,0)),""))</f>
        <v/>
      </c>
      <c r="G664" s="33" t="str">
        <f aca="false">IF(OR(D664="",F664=""),"",D664/5*F664)</f>
        <v/>
      </c>
    </row>
    <row r="665" customFormat="false" ht="15" hidden="false" customHeight="true" outlineLevel="0" collapsed="false">
      <c r="A665" s="30"/>
      <c r="C665" s="30"/>
      <c r="F665" s="9" t="str">
        <f aca="false">IF(C665="","",IFERROR(INDEX('Sub-principles'!$E$2:$E$11,MATCH(C665,'Sub-principles'!$A$2:$A$11,0)),""))</f>
        <v/>
      </c>
      <c r="G665" s="33" t="str">
        <f aca="false">IF(OR(D665="",F665=""),"",D665/5*F665)</f>
        <v/>
      </c>
    </row>
    <row r="666" customFormat="false" ht="15" hidden="false" customHeight="true" outlineLevel="0" collapsed="false">
      <c r="A666" s="30"/>
      <c r="C666" s="30"/>
      <c r="F666" s="9" t="str">
        <f aca="false">IF(C666="","",IFERROR(INDEX('Sub-principles'!$E$2:$E$11,MATCH(C666,'Sub-principles'!$A$2:$A$11,0)),""))</f>
        <v/>
      </c>
      <c r="G666" s="33" t="str">
        <f aca="false">IF(OR(D666="",F666=""),"",D666/5*F666)</f>
        <v/>
      </c>
    </row>
    <row r="667" customFormat="false" ht="15" hidden="false" customHeight="true" outlineLevel="0" collapsed="false">
      <c r="A667" s="30"/>
      <c r="C667" s="30"/>
      <c r="F667" s="9" t="str">
        <f aca="false">IF(C667="","",IFERROR(INDEX('Sub-principles'!$E$2:$E$11,MATCH(C667,'Sub-principles'!$A$2:$A$11,0)),""))</f>
        <v/>
      </c>
      <c r="G667" s="33" t="str">
        <f aca="false">IF(OR(D667="",F667=""),"",D667/5*F667)</f>
        <v/>
      </c>
    </row>
    <row r="668" customFormat="false" ht="15" hidden="false" customHeight="true" outlineLevel="0" collapsed="false">
      <c r="A668" s="30"/>
      <c r="C668" s="30"/>
      <c r="F668" s="9" t="str">
        <f aca="false">IF(C668="","",IFERROR(INDEX('Sub-principles'!$E$2:$E$11,MATCH(C668,'Sub-principles'!$A$2:$A$11,0)),""))</f>
        <v/>
      </c>
      <c r="G668" s="33" t="str">
        <f aca="false">IF(OR(D668="",F668=""),"",D668/5*F668)</f>
        <v/>
      </c>
    </row>
    <row r="669" customFormat="false" ht="15" hidden="false" customHeight="true" outlineLevel="0" collapsed="false">
      <c r="A669" s="30"/>
      <c r="C669" s="30"/>
      <c r="F669" s="9" t="str">
        <f aca="false">IF(C669="","",IFERROR(INDEX('Sub-principles'!$E$2:$E$11,MATCH(C669,'Sub-principles'!$A$2:$A$11,0)),""))</f>
        <v/>
      </c>
      <c r="G669" s="33" t="str">
        <f aca="false">IF(OR(D669="",F669=""),"",D669/5*F669)</f>
        <v/>
      </c>
    </row>
    <row r="670" customFormat="false" ht="15" hidden="false" customHeight="true" outlineLevel="0" collapsed="false">
      <c r="A670" s="30"/>
      <c r="C670" s="30"/>
      <c r="F670" s="9" t="str">
        <f aca="false">IF(C670="","",IFERROR(INDEX('Sub-principles'!$E$2:$E$11,MATCH(C670,'Sub-principles'!$A$2:$A$11,0)),""))</f>
        <v/>
      </c>
      <c r="G670" s="33" t="str">
        <f aca="false">IF(OR(D670="",F670=""),"",D670/5*F670)</f>
        <v/>
      </c>
    </row>
    <row r="671" customFormat="false" ht="15" hidden="false" customHeight="true" outlineLevel="0" collapsed="false">
      <c r="A671" s="30"/>
      <c r="C671" s="30"/>
      <c r="F671" s="9" t="str">
        <f aca="false">IF(C671="","",IFERROR(INDEX('Sub-principles'!$E$2:$E$11,MATCH(C671,'Sub-principles'!$A$2:$A$11,0)),""))</f>
        <v/>
      </c>
      <c r="G671" s="33" t="str">
        <f aca="false">IF(OR(D671="",F671=""),"",D671/5*F671)</f>
        <v/>
      </c>
    </row>
    <row r="672" customFormat="false" ht="15" hidden="false" customHeight="true" outlineLevel="0" collapsed="false">
      <c r="A672" s="30"/>
      <c r="C672" s="30"/>
      <c r="F672" s="9" t="str">
        <f aca="false">IF(C672="","",IFERROR(INDEX('Sub-principles'!$E$2:$E$11,MATCH(C672,'Sub-principles'!$A$2:$A$11,0)),""))</f>
        <v/>
      </c>
      <c r="G672" s="33" t="str">
        <f aca="false">IF(OR(D672="",F672=""),"",D672/5*F672)</f>
        <v/>
      </c>
    </row>
    <row r="673" customFormat="false" ht="15" hidden="false" customHeight="true" outlineLevel="0" collapsed="false">
      <c r="A673" s="30"/>
      <c r="C673" s="30"/>
      <c r="F673" s="9" t="str">
        <f aca="false">IF(C673="","",IFERROR(INDEX('Sub-principles'!$E$2:$E$11,MATCH(C673,'Sub-principles'!$A$2:$A$11,0)),""))</f>
        <v/>
      </c>
      <c r="G673" s="33" t="str">
        <f aca="false">IF(OR(D673="",F673=""),"",D673/5*F673)</f>
        <v/>
      </c>
    </row>
    <row r="674" customFormat="false" ht="15" hidden="false" customHeight="true" outlineLevel="0" collapsed="false">
      <c r="A674" s="30"/>
      <c r="C674" s="30"/>
      <c r="F674" s="9" t="str">
        <f aca="false">IF(C674="","",IFERROR(INDEX('Sub-principles'!$E$2:$E$11,MATCH(C674,'Sub-principles'!$A$2:$A$11,0)),""))</f>
        <v/>
      </c>
      <c r="G674" s="33" t="str">
        <f aca="false">IF(OR(D674="",F674=""),"",D674/5*F674)</f>
        <v/>
      </c>
    </row>
    <row r="675" customFormat="false" ht="15" hidden="false" customHeight="true" outlineLevel="0" collapsed="false">
      <c r="A675" s="30"/>
      <c r="C675" s="30"/>
      <c r="F675" s="9" t="str">
        <f aca="false">IF(C675="","",IFERROR(INDEX('Sub-principles'!$E$2:$E$11,MATCH(C675,'Sub-principles'!$A$2:$A$11,0)),""))</f>
        <v/>
      </c>
      <c r="G675" s="33" t="str">
        <f aca="false">IF(OR(D675="",F675=""),"",D675/5*F675)</f>
        <v/>
      </c>
    </row>
    <row r="676" customFormat="false" ht="15" hidden="false" customHeight="true" outlineLevel="0" collapsed="false">
      <c r="A676" s="30"/>
      <c r="C676" s="30"/>
      <c r="F676" s="9" t="str">
        <f aca="false">IF(C676="","",IFERROR(INDEX('Sub-principles'!$E$2:$E$11,MATCH(C676,'Sub-principles'!$A$2:$A$11,0)),""))</f>
        <v/>
      </c>
      <c r="G676" s="33" t="str">
        <f aca="false">IF(OR(D676="",F676=""),"",D676/5*F676)</f>
        <v/>
      </c>
    </row>
    <row r="677" customFormat="false" ht="15" hidden="false" customHeight="true" outlineLevel="0" collapsed="false">
      <c r="A677" s="30"/>
      <c r="C677" s="30"/>
      <c r="F677" s="9" t="str">
        <f aca="false">IF(C677="","",IFERROR(INDEX('Sub-principles'!$E$2:$E$11,MATCH(C677,'Sub-principles'!$A$2:$A$11,0)),""))</f>
        <v/>
      </c>
      <c r="G677" s="33" t="str">
        <f aca="false">IF(OR(D677="",F677=""),"",D677/5*F677)</f>
        <v/>
      </c>
    </row>
    <row r="678" customFormat="false" ht="15" hidden="false" customHeight="true" outlineLevel="0" collapsed="false">
      <c r="A678" s="30"/>
      <c r="C678" s="30"/>
      <c r="F678" s="9" t="str">
        <f aca="false">IF(C678="","",IFERROR(INDEX('Sub-principles'!$E$2:$E$11,MATCH(C678,'Sub-principles'!$A$2:$A$11,0)),""))</f>
        <v/>
      </c>
      <c r="G678" s="33" t="str">
        <f aca="false">IF(OR(D678="",F678=""),"",D678/5*F678)</f>
        <v/>
      </c>
    </row>
    <row r="679" customFormat="false" ht="15" hidden="false" customHeight="true" outlineLevel="0" collapsed="false">
      <c r="A679" s="30"/>
      <c r="C679" s="30"/>
      <c r="F679" s="9" t="str">
        <f aca="false">IF(C679="","",IFERROR(INDEX('Sub-principles'!$E$2:$E$11,MATCH(C679,'Sub-principles'!$A$2:$A$11,0)),""))</f>
        <v/>
      </c>
      <c r="G679" s="33" t="str">
        <f aca="false">IF(OR(D679="",F679=""),"",D679/5*F679)</f>
        <v/>
      </c>
    </row>
    <row r="680" customFormat="false" ht="15" hidden="false" customHeight="true" outlineLevel="0" collapsed="false">
      <c r="A680" s="30"/>
      <c r="C680" s="30"/>
      <c r="F680" s="9" t="str">
        <f aca="false">IF(C680="","",IFERROR(INDEX('Sub-principles'!$E$2:$E$11,MATCH(C680,'Sub-principles'!$A$2:$A$11,0)),""))</f>
        <v/>
      </c>
      <c r="G680" s="33" t="str">
        <f aca="false">IF(OR(D680="",F680=""),"",D680/5*F680)</f>
        <v/>
      </c>
    </row>
    <row r="681" customFormat="false" ht="15" hidden="false" customHeight="true" outlineLevel="0" collapsed="false">
      <c r="A681" s="30"/>
      <c r="C681" s="30"/>
      <c r="F681" s="9" t="str">
        <f aca="false">IF(C681="","",IFERROR(INDEX('Sub-principles'!$E$2:$E$11,MATCH(C681,'Sub-principles'!$A$2:$A$11,0)),""))</f>
        <v/>
      </c>
      <c r="G681" s="33" t="str">
        <f aca="false">IF(OR(D681="",F681=""),"",D681/5*F681)</f>
        <v/>
      </c>
    </row>
    <row r="682" customFormat="false" ht="15" hidden="false" customHeight="true" outlineLevel="0" collapsed="false">
      <c r="A682" s="30"/>
      <c r="C682" s="30"/>
      <c r="F682" s="9" t="str">
        <f aca="false">IF(C682="","",IFERROR(INDEX('Sub-principles'!$E$2:$E$11,MATCH(C682,'Sub-principles'!$A$2:$A$11,0)),""))</f>
        <v/>
      </c>
      <c r="G682" s="33" t="str">
        <f aca="false">IF(OR(D682="",F682=""),"",D682/5*F682)</f>
        <v/>
      </c>
    </row>
    <row r="683" customFormat="false" ht="15" hidden="false" customHeight="true" outlineLevel="0" collapsed="false">
      <c r="A683" s="30"/>
      <c r="C683" s="30"/>
      <c r="F683" s="9" t="str">
        <f aca="false">IF(C683="","",IFERROR(INDEX('Sub-principles'!$E$2:$E$11,MATCH(C683,'Sub-principles'!$A$2:$A$11,0)),""))</f>
        <v/>
      </c>
      <c r="G683" s="33" t="str">
        <f aca="false">IF(OR(D683="",F683=""),"",D683/5*F683)</f>
        <v/>
      </c>
    </row>
    <row r="684" customFormat="false" ht="15" hidden="false" customHeight="true" outlineLevel="0" collapsed="false">
      <c r="A684" s="30"/>
      <c r="C684" s="30"/>
      <c r="F684" s="9" t="str">
        <f aca="false">IF(C684="","",IFERROR(INDEX('Sub-principles'!$E$2:$E$11,MATCH(C684,'Sub-principles'!$A$2:$A$11,0)),""))</f>
        <v/>
      </c>
      <c r="G684" s="33" t="str">
        <f aca="false">IF(OR(D684="",F684=""),"",D684/5*F684)</f>
        <v/>
      </c>
    </row>
    <row r="685" customFormat="false" ht="15" hidden="false" customHeight="true" outlineLevel="0" collapsed="false">
      <c r="A685" s="30"/>
      <c r="C685" s="30"/>
      <c r="F685" s="9" t="str">
        <f aca="false">IF(C685="","",IFERROR(INDEX('Sub-principles'!$E$2:$E$11,MATCH(C685,'Sub-principles'!$A$2:$A$11,0)),""))</f>
        <v/>
      </c>
      <c r="G685" s="33" t="str">
        <f aca="false">IF(OR(D685="",F685=""),"",D685/5*F685)</f>
        <v/>
      </c>
    </row>
    <row r="686" customFormat="false" ht="15" hidden="false" customHeight="true" outlineLevel="0" collapsed="false">
      <c r="A686" s="30"/>
      <c r="C686" s="30"/>
      <c r="F686" s="9" t="str">
        <f aca="false">IF(C686="","",IFERROR(INDEX('Sub-principles'!$E$2:$E$11,MATCH(C686,'Sub-principles'!$A$2:$A$11,0)),""))</f>
        <v/>
      </c>
      <c r="G686" s="33" t="str">
        <f aca="false">IF(OR(D686="",F686=""),"",D686/5*F686)</f>
        <v/>
      </c>
    </row>
    <row r="687" customFormat="false" ht="15" hidden="false" customHeight="true" outlineLevel="0" collapsed="false">
      <c r="A687" s="30"/>
      <c r="C687" s="30"/>
      <c r="F687" s="9" t="str">
        <f aca="false">IF(C687="","",IFERROR(INDEX('Sub-principles'!$E$2:$E$11,MATCH(C687,'Sub-principles'!$A$2:$A$11,0)),""))</f>
        <v/>
      </c>
      <c r="G687" s="33" t="str">
        <f aca="false">IF(OR(D687="",F687=""),"",D687/5*F687)</f>
        <v/>
      </c>
    </row>
    <row r="688" customFormat="false" ht="15" hidden="false" customHeight="true" outlineLevel="0" collapsed="false">
      <c r="A688" s="30"/>
      <c r="C688" s="30"/>
      <c r="F688" s="9" t="str">
        <f aca="false">IF(C688="","",IFERROR(INDEX('Sub-principles'!$E$2:$E$11,MATCH(C688,'Sub-principles'!$A$2:$A$11,0)),""))</f>
        <v/>
      </c>
      <c r="G688" s="33" t="str">
        <f aca="false">IF(OR(D688="",F688=""),"",D688/5*F688)</f>
        <v/>
      </c>
    </row>
    <row r="689" customFormat="false" ht="15" hidden="false" customHeight="true" outlineLevel="0" collapsed="false">
      <c r="A689" s="30"/>
      <c r="C689" s="30"/>
      <c r="F689" s="9" t="str">
        <f aca="false">IF(C689="","",IFERROR(INDEX('Sub-principles'!$E$2:$E$11,MATCH(C689,'Sub-principles'!$A$2:$A$11,0)),""))</f>
        <v/>
      </c>
      <c r="G689" s="33" t="str">
        <f aca="false">IF(OR(D689="",F689=""),"",D689/5*F689)</f>
        <v/>
      </c>
    </row>
    <row r="690" customFormat="false" ht="15" hidden="false" customHeight="true" outlineLevel="0" collapsed="false">
      <c r="A690" s="30"/>
      <c r="C690" s="30"/>
      <c r="F690" s="9" t="str">
        <f aca="false">IF(C690="","",IFERROR(INDEX('Sub-principles'!$E$2:$E$11,MATCH(C690,'Sub-principles'!$A$2:$A$11,0)),""))</f>
        <v/>
      </c>
      <c r="G690" s="33" t="str">
        <f aca="false">IF(OR(D690="",F690=""),"",D690/5*F690)</f>
        <v/>
      </c>
    </row>
    <row r="691" customFormat="false" ht="15" hidden="false" customHeight="true" outlineLevel="0" collapsed="false">
      <c r="A691" s="30"/>
      <c r="C691" s="30"/>
      <c r="F691" s="9" t="str">
        <f aca="false">IF(C691="","",IFERROR(INDEX('Sub-principles'!$E$2:$E$11,MATCH(C691,'Sub-principles'!$A$2:$A$11,0)),""))</f>
        <v/>
      </c>
      <c r="G691" s="33" t="str">
        <f aca="false">IF(OR(D691="",F691=""),"",D691/5*F691)</f>
        <v/>
      </c>
    </row>
    <row r="692" customFormat="false" ht="15" hidden="false" customHeight="true" outlineLevel="0" collapsed="false">
      <c r="A692" s="30"/>
      <c r="C692" s="30"/>
      <c r="F692" s="9" t="str">
        <f aca="false">IF(C692="","",IFERROR(INDEX('Sub-principles'!$E$2:$E$11,MATCH(C692,'Sub-principles'!$A$2:$A$11,0)),""))</f>
        <v/>
      </c>
      <c r="G692" s="33" t="str">
        <f aca="false">IF(OR(D692="",F692=""),"",D692/5*F692)</f>
        <v/>
      </c>
    </row>
    <row r="693" customFormat="false" ht="15" hidden="false" customHeight="true" outlineLevel="0" collapsed="false">
      <c r="A693" s="30"/>
      <c r="C693" s="30"/>
      <c r="F693" s="9" t="str">
        <f aca="false">IF(C693="","",IFERROR(INDEX('Sub-principles'!$E$2:$E$11,MATCH(C693,'Sub-principles'!$A$2:$A$11,0)),""))</f>
        <v/>
      </c>
      <c r="G693" s="33" t="str">
        <f aca="false">IF(OR(D693="",F693=""),"",D693/5*F693)</f>
        <v/>
      </c>
    </row>
    <row r="694" customFormat="false" ht="15" hidden="false" customHeight="true" outlineLevel="0" collapsed="false">
      <c r="A694" s="30"/>
      <c r="C694" s="30"/>
      <c r="F694" s="9" t="str">
        <f aca="false">IF(C694="","",IFERROR(INDEX('Sub-principles'!$E$2:$E$11,MATCH(C694,'Sub-principles'!$A$2:$A$11,0)),""))</f>
        <v/>
      </c>
      <c r="G694" s="33" t="str">
        <f aca="false">IF(OR(D694="",F694=""),"",D694/5*F694)</f>
        <v/>
      </c>
    </row>
    <row r="695" customFormat="false" ht="15" hidden="false" customHeight="true" outlineLevel="0" collapsed="false">
      <c r="A695" s="30"/>
      <c r="C695" s="30"/>
      <c r="F695" s="9" t="str">
        <f aca="false">IF(C695="","",IFERROR(INDEX('Sub-principles'!$E$2:$E$11,MATCH(C695,'Sub-principles'!$A$2:$A$11,0)),""))</f>
        <v/>
      </c>
      <c r="G695" s="33" t="str">
        <f aca="false">IF(OR(D695="",F695=""),"",D695/5*F695)</f>
        <v/>
      </c>
    </row>
    <row r="696" customFormat="false" ht="15" hidden="false" customHeight="true" outlineLevel="0" collapsed="false">
      <c r="A696" s="30"/>
      <c r="C696" s="30"/>
      <c r="F696" s="9" t="str">
        <f aca="false">IF(C696="","",IFERROR(INDEX('Sub-principles'!$E$2:$E$11,MATCH(C696,'Sub-principles'!$A$2:$A$11,0)),""))</f>
        <v/>
      </c>
      <c r="G696" s="33" t="str">
        <f aca="false">IF(OR(D696="",F696=""),"",D696/5*F696)</f>
        <v/>
      </c>
    </row>
    <row r="697" customFormat="false" ht="15" hidden="false" customHeight="true" outlineLevel="0" collapsed="false">
      <c r="A697" s="30"/>
      <c r="C697" s="30"/>
      <c r="F697" s="9" t="str">
        <f aca="false">IF(C697="","",IFERROR(INDEX('Sub-principles'!$E$2:$E$11,MATCH(C697,'Sub-principles'!$A$2:$A$11,0)),""))</f>
        <v/>
      </c>
      <c r="G697" s="33" t="str">
        <f aca="false">IF(OR(D697="",F697=""),"",D697/5*F697)</f>
        <v/>
      </c>
    </row>
    <row r="698" customFormat="false" ht="15" hidden="false" customHeight="true" outlineLevel="0" collapsed="false">
      <c r="A698" s="30"/>
      <c r="C698" s="30"/>
      <c r="F698" s="9" t="str">
        <f aca="false">IF(C698="","",IFERROR(INDEX('Sub-principles'!$E$2:$E$11,MATCH(C698,'Sub-principles'!$A$2:$A$11,0)),""))</f>
        <v/>
      </c>
      <c r="G698" s="33" t="str">
        <f aca="false">IF(OR(D698="",F698=""),"",D698/5*F698)</f>
        <v/>
      </c>
    </row>
    <row r="699" customFormat="false" ht="15" hidden="false" customHeight="true" outlineLevel="0" collapsed="false">
      <c r="A699" s="30"/>
      <c r="C699" s="30"/>
      <c r="F699" s="9" t="str">
        <f aca="false">IF(C699="","",IFERROR(INDEX('Sub-principles'!$E$2:$E$11,MATCH(C699,'Sub-principles'!$A$2:$A$11,0)),""))</f>
        <v/>
      </c>
      <c r="G699" s="33" t="str">
        <f aca="false">IF(OR(D699="",F699=""),"",D699/5*F699)</f>
        <v/>
      </c>
    </row>
    <row r="700" customFormat="false" ht="15" hidden="false" customHeight="true" outlineLevel="0" collapsed="false">
      <c r="A700" s="30"/>
      <c r="C700" s="30"/>
      <c r="F700" s="9" t="str">
        <f aca="false">IF(C700="","",IFERROR(INDEX('Sub-principles'!$E$2:$E$11,MATCH(C700,'Sub-principles'!$A$2:$A$11,0)),""))</f>
        <v/>
      </c>
      <c r="G700" s="33" t="str">
        <f aca="false">IF(OR(D700="",F700=""),"",D700/5*F700)</f>
        <v/>
      </c>
    </row>
    <row r="701" customFormat="false" ht="15" hidden="false" customHeight="true" outlineLevel="0" collapsed="false">
      <c r="A701" s="30"/>
      <c r="C701" s="30"/>
      <c r="F701" s="9" t="str">
        <f aca="false">IF(C701="","",IFERROR(INDEX('Sub-principles'!$E$2:$E$11,MATCH(C701,'Sub-principles'!$A$2:$A$11,0)),""))</f>
        <v/>
      </c>
      <c r="G701" s="33" t="str">
        <f aca="false">IF(OR(D701="",F701=""),"",D701/5*F701)</f>
        <v/>
      </c>
    </row>
    <row r="702" customFormat="false" ht="15" hidden="false" customHeight="true" outlineLevel="0" collapsed="false">
      <c r="A702" s="30"/>
      <c r="C702" s="30"/>
      <c r="F702" s="9" t="str">
        <f aca="false">IF(C702="","",IFERROR(INDEX('Sub-principles'!$E$2:$E$11,MATCH(C702,'Sub-principles'!$A$2:$A$11,0)),""))</f>
        <v/>
      </c>
      <c r="G702" s="33" t="str">
        <f aca="false">IF(OR(D702="",F702=""),"",D702/5*F702)</f>
        <v/>
      </c>
    </row>
    <row r="703" customFormat="false" ht="15" hidden="false" customHeight="true" outlineLevel="0" collapsed="false">
      <c r="A703" s="30"/>
      <c r="C703" s="30"/>
      <c r="F703" s="9" t="str">
        <f aca="false">IF(C703="","",IFERROR(INDEX('Sub-principles'!$E$2:$E$11,MATCH(C703,'Sub-principles'!$A$2:$A$11,0)),""))</f>
        <v/>
      </c>
      <c r="G703" s="33" t="str">
        <f aca="false">IF(OR(D703="",F703=""),"",D703/5*F703)</f>
        <v/>
      </c>
    </row>
    <row r="704" customFormat="false" ht="15" hidden="false" customHeight="true" outlineLevel="0" collapsed="false">
      <c r="A704" s="30"/>
      <c r="C704" s="30"/>
      <c r="F704" s="9" t="str">
        <f aca="false">IF(C704="","",IFERROR(INDEX('Sub-principles'!$E$2:$E$11,MATCH(C704,'Sub-principles'!$A$2:$A$11,0)),""))</f>
        <v/>
      </c>
      <c r="G704" s="33" t="str">
        <f aca="false">IF(OR(D704="",F704=""),"",D704/5*F704)</f>
        <v/>
      </c>
    </row>
    <row r="705" customFormat="false" ht="15" hidden="false" customHeight="true" outlineLevel="0" collapsed="false">
      <c r="A705" s="30"/>
      <c r="C705" s="30"/>
      <c r="F705" s="9" t="str">
        <f aca="false">IF(C705="","",IFERROR(INDEX('Sub-principles'!$E$2:$E$11,MATCH(C705,'Sub-principles'!$A$2:$A$11,0)),""))</f>
        <v/>
      </c>
      <c r="G705" s="33" t="str">
        <f aca="false">IF(OR(D705="",F705=""),"",D705/5*F705)</f>
        <v/>
      </c>
    </row>
    <row r="706" customFormat="false" ht="15" hidden="false" customHeight="true" outlineLevel="0" collapsed="false">
      <c r="A706" s="30"/>
      <c r="C706" s="30"/>
      <c r="F706" s="9" t="str">
        <f aca="false">IF(C706="","",IFERROR(INDEX('Sub-principles'!$E$2:$E$11,MATCH(C706,'Sub-principles'!$A$2:$A$11,0)),""))</f>
        <v/>
      </c>
      <c r="G706" s="33" t="str">
        <f aca="false">IF(OR(D706="",F706=""),"",D706/5*F706)</f>
        <v/>
      </c>
    </row>
    <row r="707" customFormat="false" ht="15" hidden="false" customHeight="true" outlineLevel="0" collapsed="false">
      <c r="A707" s="30"/>
      <c r="C707" s="30"/>
      <c r="F707" s="9" t="str">
        <f aca="false">IF(C707="","",IFERROR(INDEX('Sub-principles'!$E$2:$E$11,MATCH(C707,'Sub-principles'!$A$2:$A$11,0)),""))</f>
        <v/>
      </c>
      <c r="G707" s="33" t="str">
        <f aca="false">IF(OR(D707="",F707=""),"",D707/5*F707)</f>
        <v/>
      </c>
    </row>
    <row r="708" customFormat="false" ht="15" hidden="false" customHeight="true" outlineLevel="0" collapsed="false">
      <c r="A708" s="30"/>
      <c r="C708" s="30"/>
      <c r="F708" s="9" t="str">
        <f aca="false">IF(C708="","",IFERROR(INDEX('Sub-principles'!$E$2:$E$11,MATCH(C708,'Sub-principles'!$A$2:$A$11,0)),""))</f>
        <v/>
      </c>
      <c r="G708" s="33" t="str">
        <f aca="false">IF(OR(D708="",F708=""),"",D708/5*F708)</f>
        <v/>
      </c>
    </row>
    <row r="709" customFormat="false" ht="15" hidden="false" customHeight="true" outlineLevel="0" collapsed="false">
      <c r="A709" s="30"/>
      <c r="C709" s="30"/>
      <c r="F709" s="9" t="str">
        <f aca="false">IF(C709="","",IFERROR(INDEX('Sub-principles'!$E$2:$E$11,MATCH(C709,'Sub-principles'!$A$2:$A$11,0)),""))</f>
        <v/>
      </c>
      <c r="G709" s="33" t="str">
        <f aca="false">IF(OR(D709="",F709=""),"",D709/5*F709)</f>
        <v/>
      </c>
    </row>
    <row r="710" customFormat="false" ht="15" hidden="false" customHeight="true" outlineLevel="0" collapsed="false">
      <c r="A710" s="30"/>
      <c r="C710" s="30"/>
      <c r="F710" s="9" t="str">
        <f aca="false">IF(C710="","",IFERROR(INDEX('Sub-principles'!$E$2:$E$11,MATCH(C710,'Sub-principles'!$A$2:$A$11,0)),""))</f>
        <v/>
      </c>
      <c r="G710" s="33" t="str">
        <f aca="false">IF(OR(D710="",F710=""),"",D710/5*F710)</f>
        <v/>
      </c>
    </row>
    <row r="711" customFormat="false" ht="15" hidden="false" customHeight="true" outlineLevel="0" collapsed="false">
      <c r="A711" s="30"/>
      <c r="C711" s="30"/>
      <c r="F711" s="9" t="str">
        <f aca="false">IF(C711="","",IFERROR(INDEX('Sub-principles'!$E$2:$E$11,MATCH(C711,'Sub-principles'!$A$2:$A$11,0)),""))</f>
        <v/>
      </c>
      <c r="G711" s="33" t="str">
        <f aca="false">IF(OR(D711="",F711=""),"",D711/5*F711)</f>
        <v/>
      </c>
    </row>
    <row r="712" customFormat="false" ht="15" hidden="false" customHeight="true" outlineLevel="0" collapsed="false">
      <c r="A712" s="30"/>
      <c r="C712" s="30"/>
      <c r="F712" s="9" t="str">
        <f aca="false">IF(C712="","",IFERROR(INDEX('Sub-principles'!$E$2:$E$11,MATCH(C712,'Sub-principles'!$A$2:$A$11,0)),""))</f>
        <v/>
      </c>
      <c r="G712" s="33" t="str">
        <f aca="false">IF(OR(D712="",F712=""),"",D712/5*F712)</f>
        <v/>
      </c>
    </row>
    <row r="713" customFormat="false" ht="15" hidden="false" customHeight="true" outlineLevel="0" collapsed="false">
      <c r="A713" s="30"/>
      <c r="C713" s="30"/>
      <c r="F713" s="9" t="str">
        <f aca="false">IF(C713="","",IFERROR(INDEX('Sub-principles'!$E$2:$E$11,MATCH(C713,'Sub-principles'!$A$2:$A$11,0)),""))</f>
        <v/>
      </c>
      <c r="G713" s="33" t="str">
        <f aca="false">IF(OR(D713="",F713=""),"",D713/5*F713)</f>
        <v/>
      </c>
    </row>
    <row r="714" customFormat="false" ht="15" hidden="false" customHeight="true" outlineLevel="0" collapsed="false">
      <c r="A714" s="30"/>
      <c r="C714" s="30"/>
      <c r="F714" s="9" t="str">
        <f aca="false">IF(C714="","",IFERROR(INDEX('Sub-principles'!$E$2:$E$11,MATCH(C714,'Sub-principles'!$A$2:$A$11,0)),""))</f>
        <v/>
      </c>
      <c r="G714" s="33" t="str">
        <f aca="false">IF(OR(D714="",F714=""),"",D714/5*F714)</f>
        <v/>
      </c>
    </row>
    <row r="715" customFormat="false" ht="15" hidden="false" customHeight="true" outlineLevel="0" collapsed="false">
      <c r="A715" s="30"/>
      <c r="C715" s="30"/>
      <c r="F715" s="9" t="str">
        <f aca="false">IF(C715="","",IFERROR(INDEX('Sub-principles'!$E$2:$E$11,MATCH(C715,'Sub-principles'!$A$2:$A$11,0)),""))</f>
        <v/>
      </c>
      <c r="G715" s="33" t="str">
        <f aca="false">IF(OR(D715="",F715=""),"",D715/5*F715)</f>
        <v/>
      </c>
    </row>
    <row r="716" customFormat="false" ht="15" hidden="false" customHeight="true" outlineLevel="0" collapsed="false">
      <c r="A716" s="30"/>
      <c r="C716" s="30"/>
      <c r="F716" s="9" t="str">
        <f aca="false">IF(C716="","",IFERROR(INDEX('Sub-principles'!$E$2:$E$11,MATCH(C716,'Sub-principles'!$A$2:$A$11,0)),""))</f>
        <v/>
      </c>
      <c r="G716" s="33" t="str">
        <f aca="false">IF(OR(D716="",F716=""),"",D716/5*F716)</f>
        <v/>
      </c>
    </row>
    <row r="717" customFormat="false" ht="15" hidden="false" customHeight="true" outlineLevel="0" collapsed="false">
      <c r="A717" s="30"/>
      <c r="C717" s="30"/>
      <c r="F717" s="9" t="str">
        <f aca="false">IF(C717="","",IFERROR(INDEX('Sub-principles'!$E$2:$E$11,MATCH(C717,'Sub-principles'!$A$2:$A$11,0)),""))</f>
        <v/>
      </c>
      <c r="G717" s="33" t="str">
        <f aca="false">IF(OR(D717="",F717=""),"",D717/5*F717)</f>
        <v/>
      </c>
    </row>
    <row r="718" customFormat="false" ht="15" hidden="false" customHeight="true" outlineLevel="0" collapsed="false">
      <c r="A718" s="30"/>
      <c r="C718" s="30"/>
      <c r="F718" s="9" t="str">
        <f aca="false">IF(C718="","",IFERROR(INDEX('Sub-principles'!$E$2:$E$11,MATCH(C718,'Sub-principles'!$A$2:$A$11,0)),""))</f>
        <v/>
      </c>
      <c r="G718" s="33" t="str">
        <f aca="false">IF(OR(D718="",F718=""),"",D718/5*F718)</f>
        <v/>
      </c>
    </row>
    <row r="719" customFormat="false" ht="15" hidden="false" customHeight="true" outlineLevel="0" collapsed="false">
      <c r="A719" s="30"/>
      <c r="C719" s="30"/>
      <c r="F719" s="9" t="str">
        <f aca="false">IF(C719="","",IFERROR(INDEX('Sub-principles'!$E$2:$E$11,MATCH(C719,'Sub-principles'!$A$2:$A$11,0)),""))</f>
        <v/>
      </c>
      <c r="G719" s="33" t="str">
        <f aca="false">IF(OR(D719="",F719=""),"",D719/5*F719)</f>
        <v/>
      </c>
    </row>
    <row r="720" customFormat="false" ht="15" hidden="false" customHeight="true" outlineLevel="0" collapsed="false">
      <c r="A720" s="30"/>
      <c r="C720" s="30"/>
      <c r="F720" s="9" t="str">
        <f aca="false">IF(C720="","",IFERROR(INDEX('Sub-principles'!$E$2:$E$11,MATCH(C720,'Sub-principles'!$A$2:$A$11,0)),""))</f>
        <v/>
      </c>
      <c r="G720" s="33" t="str">
        <f aca="false">IF(OR(D720="",F720=""),"",D720/5*F720)</f>
        <v/>
      </c>
    </row>
    <row r="721" customFormat="false" ht="15" hidden="false" customHeight="true" outlineLevel="0" collapsed="false">
      <c r="A721" s="30"/>
      <c r="C721" s="30"/>
      <c r="F721" s="9" t="str">
        <f aca="false">IF(C721="","",IFERROR(INDEX('Sub-principles'!$E$2:$E$11,MATCH(C721,'Sub-principles'!$A$2:$A$11,0)),""))</f>
        <v/>
      </c>
      <c r="G721" s="33" t="str">
        <f aca="false">IF(OR(D721="",F721=""),"",D721/5*F721)</f>
        <v/>
      </c>
    </row>
    <row r="722" customFormat="false" ht="15" hidden="false" customHeight="true" outlineLevel="0" collapsed="false">
      <c r="A722" s="30"/>
      <c r="C722" s="30"/>
      <c r="F722" s="9" t="str">
        <f aca="false">IF(C722="","",IFERROR(INDEX('Sub-principles'!$E$2:$E$11,MATCH(C722,'Sub-principles'!$A$2:$A$11,0)),""))</f>
        <v/>
      </c>
      <c r="G722" s="33" t="str">
        <f aca="false">IF(OR(D722="",F722=""),"",D722/5*F722)</f>
        <v/>
      </c>
    </row>
    <row r="723" customFormat="false" ht="15" hidden="false" customHeight="true" outlineLevel="0" collapsed="false">
      <c r="A723" s="30"/>
      <c r="C723" s="30"/>
      <c r="F723" s="9" t="str">
        <f aca="false">IF(C723="","",IFERROR(INDEX('Sub-principles'!$E$2:$E$11,MATCH(C723,'Sub-principles'!$A$2:$A$11,0)),""))</f>
        <v/>
      </c>
      <c r="G723" s="33" t="str">
        <f aca="false">IF(OR(D723="",F723=""),"",D723/5*F723)</f>
        <v/>
      </c>
    </row>
    <row r="724" customFormat="false" ht="15" hidden="false" customHeight="true" outlineLevel="0" collapsed="false">
      <c r="A724" s="30"/>
      <c r="C724" s="30"/>
      <c r="F724" s="9" t="str">
        <f aca="false">IF(C724="","",IFERROR(INDEX('Sub-principles'!$E$2:$E$11,MATCH(C724,'Sub-principles'!$A$2:$A$11,0)),""))</f>
        <v/>
      </c>
      <c r="G724" s="33" t="str">
        <f aca="false">IF(OR(D724="",F724=""),"",D724/5*F724)</f>
        <v/>
      </c>
    </row>
    <row r="725" customFormat="false" ht="15" hidden="false" customHeight="true" outlineLevel="0" collapsed="false">
      <c r="A725" s="30"/>
      <c r="C725" s="30"/>
      <c r="F725" s="9" t="str">
        <f aca="false">IF(C725="","",IFERROR(INDEX('Sub-principles'!$E$2:$E$11,MATCH(C725,'Sub-principles'!$A$2:$A$11,0)),""))</f>
        <v/>
      </c>
      <c r="G725" s="33" t="str">
        <f aca="false">IF(OR(D725="",F725=""),"",D725/5*F725)</f>
        <v/>
      </c>
    </row>
    <row r="726" customFormat="false" ht="15" hidden="false" customHeight="true" outlineLevel="0" collapsed="false">
      <c r="A726" s="30"/>
      <c r="C726" s="30"/>
      <c r="F726" s="9" t="str">
        <f aca="false">IF(C726="","",IFERROR(INDEX('Sub-principles'!$E$2:$E$11,MATCH(C726,'Sub-principles'!$A$2:$A$11,0)),""))</f>
        <v/>
      </c>
      <c r="G726" s="33" t="str">
        <f aca="false">IF(OR(D726="",F726=""),"",D726/5*F726)</f>
        <v/>
      </c>
    </row>
    <row r="727" customFormat="false" ht="15" hidden="false" customHeight="true" outlineLevel="0" collapsed="false">
      <c r="A727" s="30"/>
      <c r="C727" s="30"/>
      <c r="F727" s="9" t="str">
        <f aca="false">IF(C727="","",IFERROR(INDEX('Sub-principles'!$E$2:$E$11,MATCH(C727,'Sub-principles'!$A$2:$A$11,0)),""))</f>
        <v/>
      </c>
      <c r="G727" s="33" t="str">
        <f aca="false">IF(OR(D727="",F727=""),"",D727/5*F727)</f>
        <v/>
      </c>
    </row>
    <row r="728" customFormat="false" ht="15" hidden="false" customHeight="true" outlineLevel="0" collapsed="false">
      <c r="A728" s="30"/>
      <c r="C728" s="30"/>
      <c r="F728" s="9" t="str">
        <f aca="false">IF(C728="","",IFERROR(INDEX('Sub-principles'!$E$2:$E$11,MATCH(C728,'Sub-principles'!$A$2:$A$11,0)),""))</f>
        <v/>
      </c>
      <c r="G728" s="33" t="str">
        <f aca="false">IF(OR(D728="",F728=""),"",D728/5*F728)</f>
        <v/>
      </c>
    </row>
    <row r="729" customFormat="false" ht="15" hidden="false" customHeight="true" outlineLevel="0" collapsed="false">
      <c r="A729" s="30"/>
      <c r="C729" s="30"/>
      <c r="F729" s="9" t="str">
        <f aca="false">IF(C729="","",IFERROR(INDEX('Sub-principles'!$E$2:$E$11,MATCH(C729,'Sub-principles'!$A$2:$A$11,0)),""))</f>
        <v/>
      </c>
      <c r="G729" s="33" t="str">
        <f aca="false">IF(OR(D729="",F729=""),"",D729/5*F729)</f>
        <v/>
      </c>
    </row>
    <row r="730" customFormat="false" ht="15" hidden="false" customHeight="true" outlineLevel="0" collapsed="false">
      <c r="A730" s="30"/>
      <c r="C730" s="30"/>
      <c r="F730" s="9" t="str">
        <f aca="false">IF(C730="","",IFERROR(INDEX('Sub-principles'!$E$2:$E$11,MATCH(C730,'Sub-principles'!$A$2:$A$11,0)),""))</f>
        <v/>
      </c>
      <c r="G730" s="33" t="str">
        <f aca="false">IF(OR(D730="",F730=""),"",D730/5*F730)</f>
        <v/>
      </c>
    </row>
    <row r="731" customFormat="false" ht="15" hidden="false" customHeight="true" outlineLevel="0" collapsed="false">
      <c r="A731" s="30"/>
      <c r="C731" s="30"/>
      <c r="F731" s="9" t="str">
        <f aca="false">IF(C731="","",IFERROR(INDEX('Sub-principles'!$E$2:$E$11,MATCH(C731,'Sub-principles'!$A$2:$A$11,0)),""))</f>
        <v/>
      </c>
      <c r="G731" s="33" t="str">
        <f aca="false">IF(OR(D731="",F731=""),"",D731/5*F731)</f>
        <v/>
      </c>
    </row>
    <row r="732" customFormat="false" ht="15" hidden="false" customHeight="true" outlineLevel="0" collapsed="false">
      <c r="A732" s="30"/>
      <c r="C732" s="30"/>
      <c r="F732" s="9" t="str">
        <f aca="false">IF(C732="","",IFERROR(INDEX('Sub-principles'!$E$2:$E$11,MATCH(C732,'Sub-principles'!$A$2:$A$11,0)),""))</f>
        <v/>
      </c>
      <c r="G732" s="33" t="str">
        <f aca="false">IF(OR(D732="",F732=""),"",D732/5*F732)</f>
        <v/>
      </c>
    </row>
    <row r="733" customFormat="false" ht="15" hidden="false" customHeight="true" outlineLevel="0" collapsed="false">
      <c r="A733" s="30"/>
      <c r="C733" s="30"/>
      <c r="F733" s="9" t="str">
        <f aca="false">IF(C733="","",IFERROR(INDEX('Sub-principles'!$E$2:$E$11,MATCH(C733,'Sub-principles'!$A$2:$A$11,0)),""))</f>
        <v/>
      </c>
      <c r="G733" s="33" t="str">
        <f aca="false">IF(OR(D733="",F733=""),"",D733/5*F733)</f>
        <v/>
      </c>
    </row>
    <row r="734" customFormat="false" ht="15" hidden="false" customHeight="true" outlineLevel="0" collapsed="false">
      <c r="A734" s="30"/>
      <c r="C734" s="30"/>
      <c r="F734" s="9" t="str">
        <f aca="false">IF(C734="","",IFERROR(INDEX('Sub-principles'!$E$2:$E$11,MATCH(C734,'Sub-principles'!$A$2:$A$11,0)),""))</f>
        <v/>
      </c>
      <c r="G734" s="33" t="str">
        <f aca="false">IF(OR(D734="",F734=""),"",D734/5*F734)</f>
        <v/>
      </c>
    </row>
    <row r="735" customFormat="false" ht="15" hidden="false" customHeight="true" outlineLevel="0" collapsed="false">
      <c r="A735" s="30"/>
      <c r="C735" s="30"/>
      <c r="F735" s="9" t="str">
        <f aca="false">IF(C735="","",IFERROR(INDEX('Sub-principles'!$E$2:$E$11,MATCH(C735,'Sub-principles'!$A$2:$A$11,0)),""))</f>
        <v/>
      </c>
      <c r="G735" s="33" t="str">
        <f aca="false">IF(OR(D735="",F735=""),"",D735/5*F735)</f>
        <v/>
      </c>
    </row>
    <row r="736" customFormat="false" ht="15" hidden="false" customHeight="true" outlineLevel="0" collapsed="false">
      <c r="A736" s="30"/>
      <c r="C736" s="30"/>
      <c r="F736" s="9" t="str">
        <f aca="false">IF(C736="","",IFERROR(INDEX('Sub-principles'!$E$2:$E$11,MATCH(C736,'Sub-principles'!$A$2:$A$11,0)),""))</f>
        <v/>
      </c>
      <c r="G736" s="33" t="str">
        <f aca="false">IF(OR(D736="",F736=""),"",D736/5*F736)</f>
        <v/>
      </c>
    </row>
    <row r="737" customFormat="false" ht="15" hidden="false" customHeight="true" outlineLevel="0" collapsed="false">
      <c r="A737" s="30"/>
      <c r="C737" s="30"/>
      <c r="F737" s="9" t="str">
        <f aca="false">IF(C737="","",IFERROR(INDEX('Sub-principles'!$E$2:$E$11,MATCH(C737,'Sub-principles'!$A$2:$A$11,0)),""))</f>
        <v/>
      </c>
      <c r="G737" s="33" t="str">
        <f aca="false">IF(OR(D737="",F737=""),"",D737/5*F737)</f>
        <v/>
      </c>
    </row>
    <row r="738" customFormat="false" ht="15" hidden="false" customHeight="true" outlineLevel="0" collapsed="false">
      <c r="A738" s="30"/>
      <c r="C738" s="30"/>
      <c r="F738" s="9" t="str">
        <f aca="false">IF(C738="","",IFERROR(INDEX('Sub-principles'!$E$2:$E$11,MATCH(C738,'Sub-principles'!$A$2:$A$11,0)),""))</f>
        <v/>
      </c>
      <c r="G738" s="33" t="str">
        <f aca="false">IF(OR(D738="",F738=""),"",D738/5*F738)</f>
        <v/>
      </c>
    </row>
    <row r="739" customFormat="false" ht="15" hidden="false" customHeight="true" outlineLevel="0" collapsed="false">
      <c r="A739" s="30"/>
      <c r="C739" s="30"/>
      <c r="F739" s="9" t="str">
        <f aca="false">IF(C739="","",IFERROR(INDEX('Sub-principles'!$E$2:$E$11,MATCH(C739,'Sub-principles'!$A$2:$A$11,0)),""))</f>
        <v/>
      </c>
      <c r="G739" s="33" t="str">
        <f aca="false">IF(OR(D739="",F739=""),"",D739/5*F739)</f>
        <v/>
      </c>
    </row>
    <row r="740" customFormat="false" ht="15" hidden="false" customHeight="true" outlineLevel="0" collapsed="false">
      <c r="A740" s="30"/>
      <c r="C740" s="30"/>
      <c r="F740" s="9" t="str">
        <f aca="false">IF(C740="","",IFERROR(INDEX('Sub-principles'!$E$2:$E$11,MATCH(C740,'Sub-principles'!$A$2:$A$11,0)),""))</f>
        <v/>
      </c>
      <c r="G740" s="33" t="str">
        <f aca="false">IF(OR(D740="",F740=""),"",D740/5*F740)</f>
        <v/>
      </c>
    </row>
    <row r="741" customFormat="false" ht="15" hidden="false" customHeight="true" outlineLevel="0" collapsed="false">
      <c r="A741" s="30"/>
      <c r="C741" s="30"/>
      <c r="F741" s="9" t="str">
        <f aca="false">IF(C741="","",IFERROR(INDEX('Sub-principles'!$E$2:$E$11,MATCH(C741,'Sub-principles'!$A$2:$A$11,0)),""))</f>
        <v/>
      </c>
      <c r="G741" s="33" t="str">
        <f aca="false">IF(OR(D741="",F741=""),"",D741/5*F741)</f>
        <v/>
      </c>
    </row>
    <row r="742" customFormat="false" ht="15" hidden="false" customHeight="true" outlineLevel="0" collapsed="false">
      <c r="A742" s="30"/>
      <c r="C742" s="30"/>
      <c r="F742" s="9" t="str">
        <f aca="false">IF(C742="","",IFERROR(INDEX('Sub-principles'!$E$2:$E$11,MATCH(C742,'Sub-principles'!$A$2:$A$11,0)),""))</f>
        <v/>
      </c>
      <c r="G742" s="33" t="str">
        <f aca="false">IF(OR(D742="",F742=""),"",D742/5*F742)</f>
        <v/>
      </c>
    </row>
    <row r="743" customFormat="false" ht="15" hidden="false" customHeight="true" outlineLevel="0" collapsed="false">
      <c r="A743" s="30"/>
      <c r="C743" s="30"/>
      <c r="F743" s="9" t="str">
        <f aca="false">IF(C743="","",IFERROR(INDEX('Sub-principles'!$E$2:$E$11,MATCH(C743,'Sub-principles'!$A$2:$A$11,0)),""))</f>
        <v/>
      </c>
      <c r="G743" s="33" t="str">
        <f aca="false">IF(OR(D743="",F743=""),"",D743/5*F743)</f>
        <v/>
      </c>
    </row>
    <row r="744" customFormat="false" ht="15" hidden="false" customHeight="true" outlineLevel="0" collapsed="false">
      <c r="A744" s="30"/>
      <c r="C744" s="30"/>
      <c r="F744" s="9" t="str">
        <f aca="false">IF(C744="","",IFERROR(INDEX('Sub-principles'!$E$2:$E$11,MATCH(C744,'Sub-principles'!$A$2:$A$11,0)),""))</f>
        <v/>
      </c>
      <c r="G744" s="33" t="str">
        <f aca="false">IF(OR(D744="",F744=""),"",D744/5*F744)</f>
        <v/>
      </c>
    </row>
    <row r="745" customFormat="false" ht="15" hidden="false" customHeight="true" outlineLevel="0" collapsed="false">
      <c r="A745" s="30"/>
      <c r="C745" s="30"/>
      <c r="F745" s="9" t="str">
        <f aca="false">IF(C745="","",IFERROR(INDEX('Sub-principles'!$E$2:$E$11,MATCH(C745,'Sub-principles'!$A$2:$A$11,0)),""))</f>
        <v/>
      </c>
      <c r="G745" s="33" t="str">
        <f aca="false">IF(OR(D745="",F745=""),"",D745/5*F745)</f>
        <v/>
      </c>
    </row>
    <row r="746" customFormat="false" ht="15" hidden="false" customHeight="true" outlineLevel="0" collapsed="false">
      <c r="A746" s="30"/>
      <c r="C746" s="30"/>
      <c r="F746" s="9" t="str">
        <f aca="false">IF(C746="","",IFERROR(INDEX('Sub-principles'!$E$2:$E$11,MATCH(C746,'Sub-principles'!$A$2:$A$11,0)),""))</f>
        <v/>
      </c>
      <c r="G746" s="33" t="str">
        <f aca="false">IF(OR(D746="",F746=""),"",D746/5*F746)</f>
        <v/>
      </c>
    </row>
    <row r="747" customFormat="false" ht="15" hidden="false" customHeight="true" outlineLevel="0" collapsed="false">
      <c r="A747" s="30"/>
      <c r="C747" s="30"/>
      <c r="F747" s="9" t="str">
        <f aca="false">IF(C747="","",IFERROR(INDEX('Sub-principles'!$E$2:$E$11,MATCH(C747,'Sub-principles'!$A$2:$A$11,0)),""))</f>
        <v/>
      </c>
      <c r="G747" s="33" t="str">
        <f aca="false">IF(OR(D747="",F747=""),"",D747/5*F747)</f>
        <v/>
      </c>
    </row>
    <row r="748" customFormat="false" ht="15" hidden="false" customHeight="true" outlineLevel="0" collapsed="false">
      <c r="A748" s="30"/>
      <c r="C748" s="30"/>
      <c r="F748" s="9" t="str">
        <f aca="false">IF(C748="","",IFERROR(INDEX('Sub-principles'!$E$2:$E$11,MATCH(C748,'Sub-principles'!$A$2:$A$11,0)),""))</f>
        <v/>
      </c>
      <c r="G748" s="33" t="str">
        <f aca="false">IF(OR(D748="",F748=""),"",D748/5*F748)</f>
        <v/>
      </c>
    </row>
    <row r="749" customFormat="false" ht="15" hidden="false" customHeight="true" outlineLevel="0" collapsed="false">
      <c r="A749" s="30"/>
      <c r="C749" s="30"/>
      <c r="F749" s="9" t="str">
        <f aca="false">IF(C749="","",IFERROR(INDEX('Sub-principles'!$E$2:$E$11,MATCH(C749,'Sub-principles'!$A$2:$A$11,0)),""))</f>
        <v/>
      </c>
      <c r="G749" s="33" t="str">
        <f aca="false">IF(OR(D749="",F749=""),"",D749/5*F749)</f>
        <v/>
      </c>
    </row>
    <row r="750" customFormat="false" ht="15" hidden="false" customHeight="true" outlineLevel="0" collapsed="false">
      <c r="A750" s="30"/>
      <c r="C750" s="30"/>
      <c r="F750" s="9" t="str">
        <f aca="false">IF(C750="","",IFERROR(INDEX('Sub-principles'!$E$2:$E$11,MATCH(C750,'Sub-principles'!$A$2:$A$11,0)),""))</f>
        <v/>
      </c>
      <c r="G750" s="33" t="str">
        <f aca="false">IF(OR(D750="",F750=""),"",D750/5*F750)</f>
        <v/>
      </c>
    </row>
    <row r="751" customFormat="false" ht="15" hidden="false" customHeight="true" outlineLevel="0" collapsed="false">
      <c r="A751" s="30"/>
      <c r="C751" s="30"/>
      <c r="F751" s="9" t="str">
        <f aca="false">IF(C751="","",IFERROR(INDEX('Sub-principles'!$E$2:$E$11,MATCH(C751,'Sub-principles'!$A$2:$A$11,0)),""))</f>
        <v/>
      </c>
      <c r="G751" s="33" t="str">
        <f aca="false">IF(OR(D751="",F751=""),"",D751/5*F751)</f>
        <v/>
      </c>
    </row>
    <row r="752" customFormat="false" ht="15" hidden="false" customHeight="true" outlineLevel="0" collapsed="false">
      <c r="A752" s="30"/>
      <c r="C752" s="30"/>
      <c r="F752" s="9" t="str">
        <f aca="false">IF(C752="","",IFERROR(INDEX('Sub-principles'!$E$2:$E$11,MATCH(C752,'Sub-principles'!$A$2:$A$11,0)),""))</f>
        <v/>
      </c>
      <c r="G752" s="33" t="str">
        <f aca="false">IF(OR(D752="",F752=""),"",D752/5*F752)</f>
        <v/>
      </c>
    </row>
    <row r="753" customFormat="false" ht="15" hidden="false" customHeight="true" outlineLevel="0" collapsed="false">
      <c r="A753" s="30"/>
      <c r="C753" s="30"/>
      <c r="F753" s="9" t="str">
        <f aca="false">IF(C753="","",IFERROR(INDEX('Sub-principles'!$E$2:$E$11,MATCH(C753,'Sub-principles'!$A$2:$A$11,0)),""))</f>
        <v/>
      </c>
      <c r="G753" s="33" t="str">
        <f aca="false">IF(OR(D753="",F753=""),"",D753/5*F753)</f>
        <v/>
      </c>
    </row>
    <row r="754" customFormat="false" ht="15" hidden="false" customHeight="true" outlineLevel="0" collapsed="false">
      <c r="A754" s="30"/>
      <c r="C754" s="30"/>
      <c r="F754" s="9" t="str">
        <f aca="false">IF(C754="","",IFERROR(INDEX('Sub-principles'!$E$2:$E$11,MATCH(C754,'Sub-principles'!$A$2:$A$11,0)),""))</f>
        <v/>
      </c>
      <c r="G754" s="33" t="str">
        <f aca="false">IF(OR(D754="",F754=""),"",D754/5*F754)</f>
        <v/>
      </c>
    </row>
    <row r="755" customFormat="false" ht="15" hidden="false" customHeight="true" outlineLevel="0" collapsed="false">
      <c r="A755" s="30"/>
      <c r="C755" s="30"/>
      <c r="F755" s="9" t="str">
        <f aca="false">IF(C755="","",IFERROR(INDEX('Sub-principles'!$E$2:$E$11,MATCH(C755,'Sub-principles'!$A$2:$A$11,0)),""))</f>
        <v/>
      </c>
      <c r="G755" s="33" t="str">
        <f aca="false">IF(OR(D755="",F755=""),"",D755/5*F755)</f>
        <v/>
      </c>
    </row>
    <row r="756" customFormat="false" ht="15" hidden="false" customHeight="true" outlineLevel="0" collapsed="false">
      <c r="A756" s="30"/>
      <c r="C756" s="30"/>
      <c r="F756" s="9" t="str">
        <f aca="false">IF(C756="","",IFERROR(INDEX('Sub-principles'!$E$2:$E$11,MATCH(C756,'Sub-principles'!$A$2:$A$11,0)),""))</f>
        <v/>
      </c>
      <c r="G756" s="33" t="str">
        <f aca="false">IF(OR(D756="",F756=""),"",D756/5*F756)</f>
        <v/>
      </c>
    </row>
    <row r="757" customFormat="false" ht="15" hidden="false" customHeight="true" outlineLevel="0" collapsed="false">
      <c r="A757" s="30"/>
      <c r="C757" s="30"/>
      <c r="F757" s="9" t="str">
        <f aca="false">IF(C757="","",IFERROR(INDEX('Sub-principles'!$E$2:$E$11,MATCH(C757,'Sub-principles'!$A$2:$A$11,0)),""))</f>
        <v/>
      </c>
      <c r="G757" s="33" t="str">
        <f aca="false">IF(OR(D757="",F757=""),"",D757/5*F757)</f>
        <v/>
      </c>
    </row>
    <row r="758" customFormat="false" ht="15" hidden="false" customHeight="true" outlineLevel="0" collapsed="false">
      <c r="A758" s="30"/>
      <c r="C758" s="30"/>
      <c r="F758" s="9" t="str">
        <f aca="false">IF(C758="","",IFERROR(INDEX('Sub-principles'!$E$2:$E$11,MATCH(C758,'Sub-principles'!$A$2:$A$11,0)),""))</f>
        <v/>
      </c>
      <c r="G758" s="33" t="str">
        <f aca="false">IF(OR(D758="",F758=""),"",D758/5*F758)</f>
        <v/>
      </c>
    </row>
    <row r="759" customFormat="false" ht="15" hidden="false" customHeight="true" outlineLevel="0" collapsed="false">
      <c r="A759" s="30"/>
      <c r="C759" s="30"/>
      <c r="F759" s="9" t="str">
        <f aca="false">IF(C759="","",IFERROR(INDEX('Sub-principles'!$E$2:$E$11,MATCH(C759,'Sub-principles'!$A$2:$A$11,0)),""))</f>
        <v/>
      </c>
      <c r="G759" s="33" t="str">
        <f aca="false">IF(OR(D759="",F759=""),"",D759/5*F759)</f>
        <v/>
      </c>
    </row>
    <row r="760" customFormat="false" ht="15" hidden="false" customHeight="true" outlineLevel="0" collapsed="false">
      <c r="A760" s="30"/>
      <c r="C760" s="30"/>
      <c r="F760" s="9" t="str">
        <f aca="false">IF(C760="","",IFERROR(INDEX('Sub-principles'!$E$2:$E$11,MATCH(C760,'Sub-principles'!$A$2:$A$11,0)),""))</f>
        <v/>
      </c>
      <c r="G760" s="33" t="str">
        <f aca="false">IF(OR(D760="",F760=""),"",D760/5*F760)</f>
        <v/>
      </c>
    </row>
    <row r="761" customFormat="false" ht="15" hidden="false" customHeight="true" outlineLevel="0" collapsed="false">
      <c r="A761" s="30"/>
      <c r="C761" s="30"/>
      <c r="F761" s="9" t="str">
        <f aca="false">IF(C761="","",IFERROR(INDEX('Sub-principles'!$E$2:$E$11,MATCH(C761,'Sub-principles'!$A$2:$A$11,0)),""))</f>
        <v/>
      </c>
      <c r="G761" s="33" t="str">
        <f aca="false">IF(OR(D761="",F761=""),"",D761/5*F761)</f>
        <v/>
      </c>
    </row>
    <row r="762" customFormat="false" ht="15" hidden="false" customHeight="true" outlineLevel="0" collapsed="false">
      <c r="A762" s="30"/>
      <c r="C762" s="30"/>
      <c r="F762" s="9" t="str">
        <f aca="false">IF(C762="","",IFERROR(INDEX('Sub-principles'!$E$2:$E$11,MATCH(C762,'Sub-principles'!$A$2:$A$11,0)),""))</f>
        <v/>
      </c>
      <c r="G762" s="33" t="str">
        <f aca="false">IF(OR(D762="",F762=""),"",D762/5*F762)</f>
        <v/>
      </c>
    </row>
    <row r="763" customFormat="false" ht="15" hidden="false" customHeight="true" outlineLevel="0" collapsed="false">
      <c r="A763" s="30"/>
      <c r="C763" s="30"/>
      <c r="F763" s="9" t="str">
        <f aca="false">IF(C763="","",IFERROR(INDEX('Sub-principles'!$E$2:$E$11,MATCH(C763,'Sub-principles'!$A$2:$A$11,0)),""))</f>
        <v/>
      </c>
      <c r="G763" s="33" t="str">
        <f aca="false">IF(OR(D763="",F763=""),"",D763/5*F763)</f>
        <v/>
      </c>
    </row>
    <row r="764" customFormat="false" ht="15" hidden="false" customHeight="true" outlineLevel="0" collapsed="false">
      <c r="A764" s="30"/>
      <c r="C764" s="30"/>
      <c r="F764" s="9" t="str">
        <f aca="false">IF(C764="","",IFERROR(INDEX('Sub-principles'!$E$2:$E$11,MATCH(C764,'Sub-principles'!$A$2:$A$11,0)),""))</f>
        <v/>
      </c>
      <c r="G764" s="33" t="str">
        <f aca="false">IF(OR(D764="",F764=""),"",D764/5*F764)</f>
        <v/>
      </c>
    </row>
    <row r="765" customFormat="false" ht="15" hidden="false" customHeight="true" outlineLevel="0" collapsed="false">
      <c r="A765" s="30"/>
      <c r="C765" s="30"/>
      <c r="F765" s="9" t="str">
        <f aca="false">IF(C765="","",IFERROR(INDEX('Sub-principles'!$E$2:$E$11,MATCH(C765,'Sub-principles'!$A$2:$A$11,0)),""))</f>
        <v/>
      </c>
      <c r="G765" s="33" t="str">
        <f aca="false">IF(OR(D765="",F765=""),"",D765/5*F765)</f>
        <v/>
      </c>
    </row>
    <row r="766" customFormat="false" ht="15" hidden="false" customHeight="true" outlineLevel="0" collapsed="false">
      <c r="A766" s="30"/>
      <c r="C766" s="30"/>
      <c r="F766" s="9" t="str">
        <f aca="false">IF(C766="","",IFERROR(INDEX('Sub-principles'!$E$2:$E$11,MATCH(C766,'Sub-principles'!$A$2:$A$11,0)),""))</f>
        <v/>
      </c>
      <c r="G766" s="33" t="str">
        <f aca="false">IF(OR(D766="",F766=""),"",D766/5*F766)</f>
        <v/>
      </c>
    </row>
    <row r="767" customFormat="false" ht="15" hidden="false" customHeight="true" outlineLevel="0" collapsed="false">
      <c r="A767" s="30"/>
      <c r="C767" s="30"/>
      <c r="F767" s="9" t="str">
        <f aca="false">IF(C767="","",IFERROR(INDEX('Sub-principles'!$E$2:$E$11,MATCH(C767,'Sub-principles'!$A$2:$A$11,0)),""))</f>
        <v/>
      </c>
      <c r="G767" s="33" t="str">
        <f aca="false">IF(OR(D767="",F767=""),"",D767/5*F767)</f>
        <v/>
      </c>
    </row>
    <row r="768" customFormat="false" ht="15" hidden="false" customHeight="true" outlineLevel="0" collapsed="false">
      <c r="A768" s="30"/>
      <c r="C768" s="30"/>
      <c r="F768" s="9" t="str">
        <f aca="false">IF(C768="","",IFERROR(INDEX('Sub-principles'!$E$2:$E$11,MATCH(C768,'Sub-principles'!$A$2:$A$11,0)),""))</f>
        <v/>
      </c>
      <c r="G768" s="33" t="str">
        <f aca="false">IF(OR(D768="",F768=""),"",D768/5*F768)</f>
        <v/>
      </c>
    </row>
    <row r="769" customFormat="false" ht="15" hidden="false" customHeight="true" outlineLevel="0" collapsed="false">
      <c r="A769" s="30"/>
      <c r="C769" s="30"/>
      <c r="F769" s="9" t="str">
        <f aca="false">IF(C769="","",IFERROR(INDEX('Sub-principles'!$E$2:$E$11,MATCH(C769,'Sub-principles'!$A$2:$A$11,0)),""))</f>
        <v/>
      </c>
      <c r="G769" s="33" t="str">
        <f aca="false">IF(OR(D769="",F769=""),"",D769/5*F769)</f>
        <v/>
      </c>
    </row>
    <row r="770" customFormat="false" ht="15" hidden="false" customHeight="true" outlineLevel="0" collapsed="false">
      <c r="A770" s="30"/>
      <c r="C770" s="30"/>
      <c r="F770" s="9" t="str">
        <f aca="false">IF(C770="","",IFERROR(INDEX('Sub-principles'!$E$2:$E$11,MATCH(C770,'Sub-principles'!$A$2:$A$11,0)),""))</f>
        <v/>
      </c>
      <c r="G770" s="33" t="str">
        <f aca="false">IF(OR(D770="",F770=""),"",D770/5*F770)</f>
        <v/>
      </c>
    </row>
    <row r="771" customFormat="false" ht="15" hidden="false" customHeight="true" outlineLevel="0" collapsed="false">
      <c r="A771" s="30"/>
      <c r="C771" s="30"/>
      <c r="F771" s="9" t="str">
        <f aca="false">IF(C771="","",IFERROR(INDEX('Sub-principles'!$E$2:$E$11,MATCH(C771,'Sub-principles'!$A$2:$A$11,0)),""))</f>
        <v/>
      </c>
      <c r="G771" s="33" t="str">
        <f aca="false">IF(OR(D771="",F771=""),"",D771/5*F771)</f>
        <v/>
      </c>
    </row>
    <row r="772" customFormat="false" ht="15" hidden="false" customHeight="true" outlineLevel="0" collapsed="false">
      <c r="A772" s="30"/>
      <c r="C772" s="30"/>
      <c r="F772" s="9" t="str">
        <f aca="false">IF(C772="","",IFERROR(INDEX('Sub-principles'!$E$2:$E$11,MATCH(C772,'Sub-principles'!$A$2:$A$11,0)),""))</f>
        <v/>
      </c>
      <c r="G772" s="33" t="str">
        <f aca="false">IF(OR(D772="",F772=""),"",D772/5*F772)</f>
        <v/>
      </c>
    </row>
    <row r="773" customFormat="false" ht="15" hidden="false" customHeight="true" outlineLevel="0" collapsed="false">
      <c r="A773" s="30"/>
      <c r="C773" s="30"/>
      <c r="F773" s="9" t="str">
        <f aca="false">IF(C773="","",IFERROR(INDEX('Sub-principles'!$E$2:$E$11,MATCH(C773,'Sub-principles'!$A$2:$A$11,0)),""))</f>
        <v/>
      </c>
      <c r="G773" s="33" t="str">
        <f aca="false">IF(OR(D773="",F773=""),"",D773/5*F773)</f>
        <v/>
      </c>
    </row>
    <row r="774" customFormat="false" ht="15" hidden="false" customHeight="true" outlineLevel="0" collapsed="false">
      <c r="A774" s="30"/>
      <c r="C774" s="30"/>
      <c r="F774" s="9" t="str">
        <f aca="false">IF(C774="","",IFERROR(INDEX('Sub-principles'!$E$2:$E$11,MATCH(C774,'Sub-principles'!$A$2:$A$11,0)),""))</f>
        <v/>
      </c>
      <c r="G774" s="33" t="str">
        <f aca="false">IF(OR(D774="",F774=""),"",D774/5*F774)</f>
        <v/>
      </c>
    </row>
    <row r="775" customFormat="false" ht="15" hidden="false" customHeight="true" outlineLevel="0" collapsed="false">
      <c r="A775" s="30"/>
      <c r="C775" s="30"/>
      <c r="F775" s="9" t="str">
        <f aca="false">IF(C775="","",IFERROR(INDEX('Sub-principles'!$E$2:$E$11,MATCH(C775,'Sub-principles'!$A$2:$A$11,0)),""))</f>
        <v/>
      </c>
      <c r="G775" s="33" t="str">
        <f aca="false">IF(OR(D775="",F775=""),"",D775/5*F775)</f>
        <v/>
      </c>
    </row>
    <row r="776" customFormat="false" ht="15" hidden="false" customHeight="true" outlineLevel="0" collapsed="false">
      <c r="A776" s="30"/>
      <c r="C776" s="30"/>
      <c r="F776" s="9" t="str">
        <f aca="false">IF(C776="","",IFERROR(INDEX('Sub-principles'!$E$2:$E$11,MATCH(C776,'Sub-principles'!$A$2:$A$11,0)),""))</f>
        <v/>
      </c>
      <c r="G776" s="33" t="str">
        <f aca="false">IF(OR(D776="",F776=""),"",D776/5*F776)</f>
        <v/>
      </c>
    </row>
    <row r="777" customFormat="false" ht="15" hidden="false" customHeight="true" outlineLevel="0" collapsed="false">
      <c r="A777" s="30"/>
      <c r="C777" s="30"/>
      <c r="F777" s="9" t="str">
        <f aca="false">IF(C777="","",IFERROR(INDEX('Sub-principles'!$E$2:$E$11,MATCH(C777,'Sub-principles'!$A$2:$A$11,0)),""))</f>
        <v/>
      </c>
      <c r="G777" s="33" t="str">
        <f aca="false">IF(OR(D777="",F777=""),"",D777/5*F777)</f>
        <v/>
      </c>
    </row>
    <row r="778" customFormat="false" ht="15" hidden="false" customHeight="true" outlineLevel="0" collapsed="false">
      <c r="A778" s="30"/>
      <c r="C778" s="30"/>
      <c r="F778" s="9" t="str">
        <f aca="false">IF(C778="","",IFERROR(INDEX('Sub-principles'!$E$2:$E$11,MATCH(C778,'Sub-principles'!$A$2:$A$11,0)),""))</f>
        <v/>
      </c>
      <c r="G778" s="33" t="str">
        <f aca="false">IF(OR(D778="",F778=""),"",D778/5*F778)</f>
        <v/>
      </c>
    </row>
    <row r="779" customFormat="false" ht="15" hidden="false" customHeight="true" outlineLevel="0" collapsed="false">
      <c r="A779" s="30"/>
      <c r="C779" s="30"/>
      <c r="F779" s="9" t="str">
        <f aca="false">IF(C779="","",IFERROR(INDEX('Sub-principles'!$E$2:$E$11,MATCH(C779,'Sub-principles'!$A$2:$A$11,0)),""))</f>
        <v/>
      </c>
      <c r="G779" s="33" t="str">
        <f aca="false">IF(OR(D779="",F779=""),"",D779/5*F779)</f>
        <v/>
      </c>
    </row>
    <row r="780" customFormat="false" ht="15" hidden="false" customHeight="true" outlineLevel="0" collapsed="false">
      <c r="A780" s="30"/>
      <c r="C780" s="30"/>
      <c r="F780" s="9" t="str">
        <f aca="false">IF(C780="","",IFERROR(INDEX('Sub-principles'!$E$2:$E$11,MATCH(C780,'Sub-principles'!$A$2:$A$11,0)),""))</f>
        <v/>
      </c>
      <c r="G780" s="33" t="str">
        <f aca="false">IF(OR(D780="",F780=""),"",D780/5*F780)</f>
        <v/>
      </c>
    </row>
    <row r="781" customFormat="false" ht="15" hidden="false" customHeight="true" outlineLevel="0" collapsed="false">
      <c r="A781" s="30"/>
      <c r="C781" s="30"/>
      <c r="F781" s="9" t="str">
        <f aca="false">IF(C781="","",IFERROR(INDEX('Sub-principles'!$E$2:$E$11,MATCH(C781,'Sub-principles'!$A$2:$A$11,0)),""))</f>
        <v/>
      </c>
      <c r="G781" s="33" t="str">
        <f aca="false">IF(OR(D781="",F781=""),"",D781/5*F781)</f>
        <v/>
      </c>
    </row>
    <row r="782" customFormat="false" ht="15" hidden="false" customHeight="true" outlineLevel="0" collapsed="false">
      <c r="A782" s="30"/>
      <c r="C782" s="30"/>
      <c r="F782" s="9" t="str">
        <f aca="false">IF(C782="","",IFERROR(INDEX('Sub-principles'!$E$2:$E$11,MATCH(C782,'Sub-principles'!$A$2:$A$11,0)),""))</f>
        <v/>
      </c>
      <c r="G782" s="33" t="str">
        <f aca="false">IF(OR(D782="",F782=""),"",D782/5*F782)</f>
        <v/>
      </c>
    </row>
    <row r="783" customFormat="false" ht="15" hidden="false" customHeight="true" outlineLevel="0" collapsed="false">
      <c r="A783" s="30"/>
      <c r="C783" s="30"/>
      <c r="F783" s="9" t="str">
        <f aca="false">IF(C783="","",IFERROR(INDEX('Sub-principles'!$E$2:$E$11,MATCH(C783,'Sub-principles'!$A$2:$A$11,0)),""))</f>
        <v/>
      </c>
      <c r="G783" s="33" t="str">
        <f aca="false">IF(OR(D783="",F783=""),"",D783/5*F783)</f>
        <v/>
      </c>
    </row>
    <row r="784" customFormat="false" ht="15" hidden="false" customHeight="true" outlineLevel="0" collapsed="false">
      <c r="A784" s="30"/>
      <c r="C784" s="30"/>
      <c r="F784" s="9" t="str">
        <f aca="false">IF(C784="","",IFERROR(INDEX('Sub-principles'!$E$2:$E$11,MATCH(C784,'Sub-principles'!$A$2:$A$11,0)),""))</f>
        <v/>
      </c>
      <c r="G784" s="33" t="str">
        <f aca="false">IF(OR(D784="",F784=""),"",D784/5*F784)</f>
        <v/>
      </c>
    </row>
    <row r="785" customFormat="false" ht="15" hidden="false" customHeight="true" outlineLevel="0" collapsed="false">
      <c r="A785" s="30"/>
      <c r="C785" s="30"/>
      <c r="F785" s="9" t="str">
        <f aca="false">IF(C785="","",IFERROR(INDEX('Sub-principles'!$E$2:$E$11,MATCH(C785,'Sub-principles'!$A$2:$A$11,0)),""))</f>
        <v/>
      </c>
      <c r="G785" s="33" t="str">
        <f aca="false">IF(OR(D785="",F785=""),"",D785/5*F785)</f>
        <v/>
      </c>
    </row>
    <row r="786" customFormat="false" ht="15" hidden="false" customHeight="true" outlineLevel="0" collapsed="false">
      <c r="A786" s="30"/>
      <c r="C786" s="30"/>
      <c r="F786" s="9" t="str">
        <f aca="false">IF(C786="","",IFERROR(INDEX('Sub-principles'!$E$2:$E$11,MATCH(C786,'Sub-principles'!$A$2:$A$11,0)),""))</f>
        <v/>
      </c>
      <c r="G786" s="33" t="str">
        <f aca="false">IF(OR(D786="",F786=""),"",D786/5*F786)</f>
        <v/>
      </c>
    </row>
    <row r="787" customFormat="false" ht="15" hidden="false" customHeight="true" outlineLevel="0" collapsed="false">
      <c r="A787" s="30"/>
      <c r="C787" s="30"/>
      <c r="F787" s="9" t="str">
        <f aca="false">IF(C787="","",IFERROR(INDEX('Sub-principles'!$E$2:$E$11,MATCH(C787,'Sub-principles'!$A$2:$A$11,0)),""))</f>
        <v/>
      </c>
      <c r="G787" s="33" t="str">
        <f aca="false">IF(OR(D787="",F787=""),"",D787/5*F787)</f>
        <v/>
      </c>
    </row>
    <row r="788" customFormat="false" ht="15" hidden="false" customHeight="true" outlineLevel="0" collapsed="false">
      <c r="A788" s="30"/>
      <c r="C788" s="30"/>
      <c r="F788" s="9" t="str">
        <f aca="false">IF(C788="","",IFERROR(INDEX('Sub-principles'!$E$2:$E$11,MATCH(C788,'Sub-principles'!$A$2:$A$11,0)),""))</f>
        <v/>
      </c>
      <c r="G788" s="33" t="str">
        <f aca="false">IF(OR(D788="",F788=""),"",D788/5*F788)</f>
        <v/>
      </c>
    </row>
    <row r="789" customFormat="false" ht="15" hidden="false" customHeight="true" outlineLevel="0" collapsed="false">
      <c r="A789" s="30"/>
      <c r="C789" s="30"/>
      <c r="F789" s="9" t="str">
        <f aca="false">IF(C789="","",IFERROR(INDEX('Sub-principles'!$E$2:$E$11,MATCH(C789,'Sub-principles'!$A$2:$A$11,0)),""))</f>
        <v/>
      </c>
      <c r="G789" s="33" t="str">
        <f aca="false">IF(OR(D789="",F789=""),"",D789/5*F789)</f>
        <v/>
      </c>
    </row>
    <row r="790" customFormat="false" ht="15" hidden="false" customHeight="true" outlineLevel="0" collapsed="false">
      <c r="A790" s="30"/>
      <c r="C790" s="30"/>
      <c r="F790" s="9" t="str">
        <f aca="false">IF(C790="","",IFERROR(INDEX('Sub-principles'!$E$2:$E$11,MATCH(C790,'Sub-principles'!$A$2:$A$11,0)),""))</f>
        <v/>
      </c>
      <c r="G790" s="33" t="str">
        <f aca="false">IF(OR(D790="",F790=""),"",D790/5*F790)</f>
        <v/>
      </c>
    </row>
    <row r="791" customFormat="false" ht="15" hidden="false" customHeight="true" outlineLevel="0" collapsed="false">
      <c r="A791" s="30"/>
      <c r="C791" s="30"/>
      <c r="F791" s="9" t="str">
        <f aca="false">IF(C791="","",IFERROR(INDEX('Sub-principles'!$E$2:$E$11,MATCH(C791,'Sub-principles'!$A$2:$A$11,0)),""))</f>
        <v/>
      </c>
      <c r="G791" s="33" t="str">
        <f aca="false">IF(OR(D791="",F791=""),"",D791/5*F791)</f>
        <v/>
      </c>
    </row>
    <row r="792" customFormat="false" ht="15" hidden="false" customHeight="true" outlineLevel="0" collapsed="false">
      <c r="A792" s="30"/>
      <c r="C792" s="30"/>
      <c r="F792" s="9" t="str">
        <f aca="false">IF(C792="","",IFERROR(INDEX('Sub-principles'!$E$2:$E$11,MATCH(C792,'Sub-principles'!$A$2:$A$11,0)),""))</f>
        <v/>
      </c>
      <c r="G792" s="33" t="str">
        <f aca="false">IF(OR(D792="",F792=""),"",D792/5*F792)</f>
        <v/>
      </c>
    </row>
    <row r="793" customFormat="false" ht="15" hidden="false" customHeight="true" outlineLevel="0" collapsed="false">
      <c r="A793" s="30"/>
      <c r="C793" s="30"/>
      <c r="F793" s="9" t="str">
        <f aca="false">IF(C793="","",IFERROR(INDEX('Sub-principles'!$E$2:$E$11,MATCH(C793,'Sub-principles'!$A$2:$A$11,0)),""))</f>
        <v/>
      </c>
      <c r="G793" s="33" t="str">
        <f aca="false">IF(OR(D793="",F793=""),"",D793/5*F793)</f>
        <v/>
      </c>
    </row>
    <row r="794" customFormat="false" ht="15" hidden="false" customHeight="true" outlineLevel="0" collapsed="false">
      <c r="A794" s="30"/>
      <c r="C794" s="30"/>
      <c r="F794" s="9" t="str">
        <f aca="false">IF(C794="","",IFERROR(INDEX('Sub-principles'!$E$2:$E$11,MATCH(C794,'Sub-principles'!$A$2:$A$11,0)),""))</f>
        <v/>
      </c>
      <c r="G794" s="33" t="str">
        <f aca="false">IF(OR(D794="",F794=""),"",D794/5*F794)</f>
        <v/>
      </c>
    </row>
    <row r="795" customFormat="false" ht="15" hidden="false" customHeight="true" outlineLevel="0" collapsed="false">
      <c r="A795" s="30"/>
      <c r="C795" s="30"/>
      <c r="F795" s="9" t="str">
        <f aca="false">IF(C795="","",IFERROR(INDEX('Sub-principles'!$E$2:$E$11,MATCH(C795,'Sub-principles'!$A$2:$A$11,0)),""))</f>
        <v/>
      </c>
      <c r="G795" s="33" t="str">
        <f aca="false">IF(OR(D795="",F795=""),"",D795/5*F795)</f>
        <v/>
      </c>
    </row>
    <row r="796" customFormat="false" ht="15" hidden="false" customHeight="true" outlineLevel="0" collapsed="false">
      <c r="A796" s="30"/>
      <c r="C796" s="30"/>
      <c r="F796" s="9" t="str">
        <f aca="false">IF(C796="","",IFERROR(INDEX('Sub-principles'!$E$2:$E$11,MATCH(C796,'Sub-principles'!$A$2:$A$11,0)),""))</f>
        <v/>
      </c>
      <c r="G796" s="33" t="str">
        <f aca="false">IF(OR(D796="",F796=""),"",D796/5*F796)</f>
        <v/>
      </c>
    </row>
    <row r="797" customFormat="false" ht="15" hidden="false" customHeight="true" outlineLevel="0" collapsed="false">
      <c r="A797" s="30"/>
      <c r="C797" s="30"/>
      <c r="F797" s="9" t="str">
        <f aca="false">IF(C797="","",IFERROR(INDEX('Sub-principles'!$E$2:$E$11,MATCH(C797,'Sub-principles'!$A$2:$A$11,0)),""))</f>
        <v/>
      </c>
      <c r="G797" s="33" t="str">
        <f aca="false">IF(OR(D797="",F797=""),"",D797/5*F797)</f>
        <v/>
      </c>
    </row>
    <row r="798" customFormat="false" ht="15" hidden="false" customHeight="true" outlineLevel="0" collapsed="false">
      <c r="A798" s="30"/>
      <c r="C798" s="30"/>
      <c r="F798" s="9" t="str">
        <f aca="false">IF(C798="","",IFERROR(INDEX('Sub-principles'!$E$2:$E$11,MATCH(C798,'Sub-principles'!$A$2:$A$11,0)),""))</f>
        <v/>
      </c>
      <c r="G798" s="33" t="str">
        <f aca="false">IF(OR(D798="",F798=""),"",D798/5*F798)</f>
        <v/>
      </c>
    </row>
    <row r="799" customFormat="false" ht="15" hidden="false" customHeight="true" outlineLevel="0" collapsed="false">
      <c r="A799" s="30"/>
      <c r="C799" s="30"/>
      <c r="F799" s="9" t="str">
        <f aca="false">IF(C799="","",IFERROR(INDEX('Sub-principles'!$E$2:$E$11,MATCH(C799,'Sub-principles'!$A$2:$A$11,0)),""))</f>
        <v/>
      </c>
      <c r="G799" s="33" t="str">
        <f aca="false">IF(OR(D799="",F799=""),"",D799/5*F799)</f>
        <v/>
      </c>
    </row>
    <row r="800" customFormat="false" ht="15" hidden="false" customHeight="true" outlineLevel="0" collapsed="false">
      <c r="A800" s="30"/>
      <c r="C800" s="30"/>
      <c r="F800" s="9" t="str">
        <f aca="false">IF(C800="","",IFERROR(INDEX('Sub-principles'!$E$2:$E$11,MATCH(C800,'Sub-principles'!$A$2:$A$11,0)),""))</f>
        <v/>
      </c>
      <c r="G800" s="33" t="str">
        <f aca="false">IF(OR(D800="",F800=""),"",D800/5*F800)</f>
        <v/>
      </c>
    </row>
    <row r="801" customFormat="false" ht="15" hidden="false" customHeight="true" outlineLevel="0" collapsed="false">
      <c r="A801" s="30"/>
      <c r="C801" s="30"/>
      <c r="F801" s="9" t="str">
        <f aca="false">IF(C801="","",IFERROR(INDEX('Sub-principles'!$E$2:$E$11,MATCH(C801,'Sub-principles'!$A$2:$A$11,0)),""))</f>
        <v/>
      </c>
      <c r="G801" s="33" t="str">
        <f aca="false">IF(OR(D801="",F801=""),"",D801/5*F801)</f>
        <v/>
      </c>
    </row>
    <row r="802" customFormat="false" ht="15" hidden="false" customHeight="true" outlineLevel="0" collapsed="false">
      <c r="A802" s="30"/>
      <c r="C802" s="30"/>
      <c r="F802" s="9" t="str">
        <f aca="false">IF(C802="","",IFERROR(INDEX('Sub-principles'!$E$2:$E$11,MATCH(C802,'Sub-principles'!$A$2:$A$11,0)),""))</f>
        <v/>
      </c>
      <c r="G802" s="33" t="str">
        <f aca="false">IF(OR(D802="",F802=""),"",D802/5*F802)</f>
        <v/>
      </c>
    </row>
    <row r="803" customFormat="false" ht="15" hidden="false" customHeight="true" outlineLevel="0" collapsed="false">
      <c r="A803" s="30"/>
      <c r="C803" s="30"/>
      <c r="F803" s="9" t="str">
        <f aca="false">IF(C803="","",IFERROR(INDEX('Sub-principles'!$E$2:$E$11,MATCH(C803,'Sub-principles'!$A$2:$A$11,0)),""))</f>
        <v/>
      </c>
      <c r="G803" s="33" t="str">
        <f aca="false">IF(OR(D803="",F803=""),"",D803/5*F803)</f>
        <v/>
      </c>
    </row>
    <row r="804" customFormat="false" ht="15" hidden="false" customHeight="true" outlineLevel="0" collapsed="false">
      <c r="A804" s="30"/>
      <c r="C804" s="30"/>
      <c r="F804" s="9" t="str">
        <f aca="false">IF(C804="","",IFERROR(INDEX('Sub-principles'!$E$2:$E$11,MATCH(C804,'Sub-principles'!$A$2:$A$11,0)),""))</f>
        <v/>
      </c>
      <c r="G804" s="33" t="str">
        <f aca="false">IF(OR(D804="",F804=""),"",D804/5*F804)</f>
        <v/>
      </c>
    </row>
    <row r="805" customFormat="false" ht="15" hidden="false" customHeight="true" outlineLevel="0" collapsed="false">
      <c r="A805" s="30"/>
      <c r="C805" s="30"/>
      <c r="F805" s="9" t="str">
        <f aca="false">IF(C805="","",IFERROR(INDEX('Sub-principles'!$E$2:$E$11,MATCH(C805,'Sub-principles'!$A$2:$A$11,0)),""))</f>
        <v/>
      </c>
      <c r="G805" s="33" t="str">
        <f aca="false">IF(OR(D805="",F805=""),"",D805/5*F805)</f>
        <v/>
      </c>
    </row>
    <row r="806" customFormat="false" ht="15" hidden="false" customHeight="true" outlineLevel="0" collapsed="false">
      <c r="A806" s="30"/>
      <c r="C806" s="30"/>
      <c r="F806" s="9" t="str">
        <f aca="false">IF(C806="","",IFERROR(INDEX('Sub-principles'!$E$2:$E$11,MATCH(C806,'Sub-principles'!$A$2:$A$11,0)),""))</f>
        <v/>
      </c>
      <c r="G806" s="33" t="str">
        <f aca="false">IF(OR(D806="",F806=""),"",D806/5*F806)</f>
        <v/>
      </c>
    </row>
    <row r="807" customFormat="false" ht="15" hidden="false" customHeight="true" outlineLevel="0" collapsed="false">
      <c r="A807" s="30"/>
      <c r="C807" s="30"/>
      <c r="F807" s="9" t="str">
        <f aca="false">IF(C807="","",IFERROR(INDEX('Sub-principles'!$E$2:$E$11,MATCH(C807,'Sub-principles'!$A$2:$A$11,0)),""))</f>
        <v/>
      </c>
      <c r="G807" s="33" t="str">
        <f aca="false">IF(OR(D807="",F807=""),"",D807/5*F807)</f>
        <v/>
      </c>
    </row>
    <row r="808" customFormat="false" ht="15" hidden="false" customHeight="true" outlineLevel="0" collapsed="false">
      <c r="A808" s="30"/>
      <c r="C808" s="30"/>
      <c r="F808" s="9" t="str">
        <f aca="false">IF(C808="","",IFERROR(INDEX('Sub-principles'!$E$2:$E$11,MATCH(C808,'Sub-principles'!$A$2:$A$11,0)),""))</f>
        <v/>
      </c>
      <c r="G808" s="33" t="str">
        <f aca="false">IF(OR(D808="",F808=""),"",D808/5*F808)</f>
        <v/>
      </c>
    </row>
    <row r="809" customFormat="false" ht="15" hidden="false" customHeight="true" outlineLevel="0" collapsed="false">
      <c r="A809" s="30"/>
      <c r="C809" s="30"/>
      <c r="F809" s="9" t="str">
        <f aca="false">IF(C809="","",IFERROR(INDEX('Sub-principles'!$E$2:$E$11,MATCH(C809,'Sub-principles'!$A$2:$A$11,0)),""))</f>
        <v/>
      </c>
      <c r="G809" s="33" t="str">
        <f aca="false">IF(OR(D809="",F809=""),"",D809/5*F809)</f>
        <v/>
      </c>
    </row>
    <row r="810" customFormat="false" ht="15" hidden="false" customHeight="true" outlineLevel="0" collapsed="false">
      <c r="A810" s="30"/>
      <c r="C810" s="30"/>
      <c r="F810" s="9" t="str">
        <f aca="false">IF(C810="","",IFERROR(INDEX('Sub-principles'!$E$2:$E$11,MATCH(C810,'Sub-principles'!$A$2:$A$11,0)),""))</f>
        <v/>
      </c>
      <c r="G810" s="33" t="str">
        <f aca="false">IF(OR(D810="",F810=""),"",D810/5*F810)</f>
        <v/>
      </c>
    </row>
    <row r="811" customFormat="false" ht="15" hidden="false" customHeight="true" outlineLevel="0" collapsed="false">
      <c r="A811" s="30"/>
      <c r="C811" s="30"/>
      <c r="F811" s="9" t="str">
        <f aca="false">IF(C811="","",IFERROR(INDEX('Sub-principles'!$E$2:$E$11,MATCH(C811,'Sub-principles'!$A$2:$A$11,0)),""))</f>
        <v/>
      </c>
      <c r="G811" s="33" t="str">
        <f aca="false">IF(OR(D811="",F811=""),"",D811/5*F811)</f>
        <v/>
      </c>
    </row>
    <row r="812" customFormat="false" ht="15" hidden="false" customHeight="true" outlineLevel="0" collapsed="false">
      <c r="A812" s="30"/>
      <c r="C812" s="30"/>
      <c r="F812" s="9" t="str">
        <f aca="false">IF(C812="","",IFERROR(INDEX('Sub-principles'!$E$2:$E$11,MATCH(C812,'Sub-principles'!$A$2:$A$11,0)),""))</f>
        <v/>
      </c>
      <c r="G812" s="33" t="str">
        <f aca="false">IF(OR(D812="",F812=""),"",D812/5*F812)</f>
        <v/>
      </c>
    </row>
    <row r="813" customFormat="false" ht="15" hidden="false" customHeight="true" outlineLevel="0" collapsed="false">
      <c r="A813" s="30"/>
      <c r="C813" s="30"/>
      <c r="F813" s="9" t="str">
        <f aca="false">IF(C813="","",IFERROR(INDEX('Sub-principles'!$E$2:$E$11,MATCH(C813,'Sub-principles'!$A$2:$A$11,0)),""))</f>
        <v/>
      </c>
      <c r="G813" s="33" t="str">
        <f aca="false">IF(OR(D813="",F813=""),"",D813/5*F813)</f>
        <v/>
      </c>
    </row>
    <row r="814" customFormat="false" ht="15" hidden="false" customHeight="true" outlineLevel="0" collapsed="false">
      <c r="A814" s="30"/>
      <c r="C814" s="30"/>
      <c r="F814" s="9" t="str">
        <f aca="false">IF(C814="","",IFERROR(INDEX('Sub-principles'!$E$2:$E$11,MATCH(C814,'Sub-principles'!$A$2:$A$11,0)),""))</f>
        <v/>
      </c>
      <c r="G814" s="33" t="str">
        <f aca="false">IF(OR(D814="",F814=""),"",D814/5*F814)</f>
        <v/>
      </c>
    </row>
    <row r="815" customFormat="false" ht="15" hidden="false" customHeight="true" outlineLevel="0" collapsed="false">
      <c r="A815" s="30"/>
      <c r="C815" s="30"/>
      <c r="F815" s="9" t="str">
        <f aca="false">IF(C815="","",IFERROR(INDEX('Sub-principles'!$E$2:$E$11,MATCH(C815,'Sub-principles'!$A$2:$A$11,0)),""))</f>
        <v/>
      </c>
      <c r="G815" s="33" t="str">
        <f aca="false">IF(OR(D815="",F815=""),"",D815/5*F815)</f>
        <v/>
      </c>
    </row>
    <row r="816" customFormat="false" ht="15" hidden="false" customHeight="true" outlineLevel="0" collapsed="false">
      <c r="A816" s="30"/>
      <c r="C816" s="30"/>
      <c r="F816" s="9" t="str">
        <f aca="false">IF(C816="","",IFERROR(INDEX('Sub-principles'!$E$2:$E$11,MATCH(C816,'Sub-principles'!$A$2:$A$11,0)),""))</f>
        <v/>
      </c>
      <c r="G816" s="33" t="str">
        <f aca="false">IF(OR(D816="",F816=""),"",D816/5*F816)</f>
        <v/>
      </c>
    </row>
    <row r="817" customFormat="false" ht="15" hidden="false" customHeight="true" outlineLevel="0" collapsed="false">
      <c r="A817" s="30"/>
      <c r="C817" s="30"/>
      <c r="F817" s="9" t="str">
        <f aca="false">IF(C817="","",IFERROR(INDEX('Sub-principles'!$E$2:$E$11,MATCH(C817,'Sub-principles'!$A$2:$A$11,0)),""))</f>
        <v/>
      </c>
      <c r="G817" s="33" t="str">
        <f aca="false">IF(OR(D817="",F817=""),"",D817/5*F817)</f>
        <v/>
      </c>
    </row>
    <row r="818" customFormat="false" ht="15" hidden="false" customHeight="true" outlineLevel="0" collapsed="false">
      <c r="A818" s="30"/>
      <c r="C818" s="30"/>
      <c r="F818" s="9" t="str">
        <f aca="false">IF(C818="","",IFERROR(INDEX('Sub-principles'!$E$2:$E$11,MATCH(C818,'Sub-principles'!$A$2:$A$11,0)),""))</f>
        <v/>
      </c>
      <c r="G818" s="33" t="str">
        <f aca="false">IF(OR(D818="",F818=""),"",D818/5*F818)</f>
        <v/>
      </c>
    </row>
    <row r="819" customFormat="false" ht="15" hidden="false" customHeight="true" outlineLevel="0" collapsed="false">
      <c r="A819" s="30"/>
      <c r="C819" s="30"/>
      <c r="F819" s="9" t="str">
        <f aca="false">IF(C819="","",IFERROR(INDEX('Sub-principles'!$E$2:$E$11,MATCH(C819,'Sub-principles'!$A$2:$A$11,0)),""))</f>
        <v/>
      </c>
      <c r="G819" s="33" t="str">
        <f aca="false">IF(OR(D819="",F819=""),"",D819/5*F819)</f>
        <v/>
      </c>
    </row>
    <row r="820" customFormat="false" ht="15" hidden="false" customHeight="true" outlineLevel="0" collapsed="false">
      <c r="A820" s="30"/>
      <c r="C820" s="30"/>
      <c r="F820" s="9" t="str">
        <f aca="false">IF(C820="","",IFERROR(INDEX('Sub-principles'!$E$2:$E$11,MATCH(C820,'Sub-principles'!$A$2:$A$11,0)),""))</f>
        <v/>
      </c>
      <c r="G820" s="33" t="str">
        <f aca="false">IF(OR(D820="",F820=""),"",D820/5*F820)</f>
        <v/>
      </c>
    </row>
    <row r="821" customFormat="false" ht="15" hidden="false" customHeight="true" outlineLevel="0" collapsed="false">
      <c r="A821" s="30"/>
      <c r="C821" s="30"/>
      <c r="F821" s="9" t="str">
        <f aca="false">IF(C821="","",IFERROR(INDEX('Sub-principles'!$E$2:$E$11,MATCH(C821,'Sub-principles'!$A$2:$A$11,0)),""))</f>
        <v/>
      </c>
      <c r="G821" s="33" t="str">
        <f aca="false">IF(OR(D821="",F821=""),"",D821/5*F821)</f>
        <v/>
      </c>
    </row>
    <row r="822" customFormat="false" ht="15" hidden="false" customHeight="true" outlineLevel="0" collapsed="false">
      <c r="A822" s="30"/>
      <c r="C822" s="30"/>
      <c r="F822" s="9" t="str">
        <f aca="false">IF(C822="","",IFERROR(INDEX('Sub-principles'!$E$2:$E$11,MATCH(C822,'Sub-principles'!$A$2:$A$11,0)),""))</f>
        <v/>
      </c>
      <c r="G822" s="33" t="str">
        <f aca="false">IF(OR(D822="",F822=""),"",D822/5*F822)</f>
        <v/>
      </c>
    </row>
    <row r="823" customFormat="false" ht="15" hidden="false" customHeight="true" outlineLevel="0" collapsed="false">
      <c r="A823" s="30"/>
      <c r="C823" s="30"/>
      <c r="F823" s="9" t="str">
        <f aca="false">IF(C823="","",IFERROR(INDEX('Sub-principles'!$E$2:$E$11,MATCH(C823,'Sub-principles'!$A$2:$A$11,0)),""))</f>
        <v/>
      </c>
      <c r="G823" s="33" t="str">
        <f aca="false">IF(OR(D823="",F823=""),"",D823/5*F823)</f>
        <v/>
      </c>
    </row>
    <row r="824" customFormat="false" ht="15" hidden="false" customHeight="true" outlineLevel="0" collapsed="false">
      <c r="A824" s="30"/>
      <c r="C824" s="30"/>
      <c r="F824" s="9" t="str">
        <f aca="false">IF(C824="","",IFERROR(INDEX('Sub-principles'!$E$2:$E$11,MATCH(C824,'Sub-principles'!$A$2:$A$11,0)),""))</f>
        <v/>
      </c>
      <c r="G824" s="33" t="str">
        <f aca="false">IF(OR(D824="",F824=""),"",D824/5*F824)</f>
        <v/>
      </c>
    </row>
    <row r="825" customFormat="false" ht="15" hidden="false" customHeight="true" outlineLevel="0" collapsed="false">
      <c r="A825" s="30"/>
      <c r="C825" s="30"/>
      <c r="F825" s="9" t="str">
        <f aca="false">IF(C825="","",IFERROR(INDEX('Sub-principles'!$E$2:$E$11,MATCH(C825,'Sub-principles'!$A$2:$A$11,0)),""))</f>
        <v/>
      </c>
      <c r="G825" s="33" t="str">
        <f aca="false">IF(OR(D825="",F825=""),"",D825/5*F825)</f>
        <v/>
      </c>
    </row>
    <row r="826" customFormat="false" ht="15" hidden="false" customHeight="true" outlineLevel="0" collapsed="false">
      <c r="A826" s="30"/>
      <c r="C826" s="30"/>
      <c r="F826" s="9" t="str">
        <f aca="false">IF(C826="","",IFERROR(INDEX('Sub-principles'!$E$2:$E$11,MATCH(C826,'Sub-principles'!$A$2:$A$11,0)),""))</f>
        <v/>
      </c>
      <c r="G826" s="33" t="str">
        <f aca="false">IF(OR(D826="",F826=""),"",D826/5*F826)</f>
        <v/>
      </c>
    </row>
    <row r="827" customFormat="false" ht="15" hidden="false" customHeight="true" outlineLevel="0" collapsed="false">
      <c r="A827" s="30"/>
      <c r="C827" s="30"/>
      <c r="F827" s="9" t="str">
        <f aca="false">IF(C827="","",IFERROR(INDEX('Sub-principles'!$E$2:$E$11,MATCH(C827,'Sub-principles'!$A$2:$A$11,0)),""))</f>
        <v/>
      </c>
      <c r="G827" s="33" t="str">
        <f aca="false">IF(OR(D827="",F827=""),"",D827/5*F827)</f>
        <v/>
      </c>
    </row>
    <row r="828" customFormat="false" ht="15" hidden="false" customHeight="true" outlineLevel="0" collapsed="false">
      <c r="A828" s="30"/>
      <c r="C828" s="30"/>
      <c r="F828" s="9" t="str">
        <f aca="false">IF(C828="","",IFERROR(INDEX('Sub-principles'!$E$2:$E$11,MATCH(C828,'Sub-principles'!$A$2:$A$11,0)),""))</f>
        <v/>
      </c>
      <c r="G828" s="33" t="str">
        <f aca="false">IF(OR(D828="",F828=""),"",D828/5*F828)</f>
        <v/>
      </c>
    </row>
    <row r="829" customFormat="false" ht="15" hidden="false" customHeight="true" outlineLevel="0" collapsed="false">
      <c r="A829" s="30"/>
      <c r="C829" s="30"/>
      <c r="F829" s="9" t="str">
        <f aca="false">IF(C829="","",IFERROR(INDEX('Sub-principles'!$E$2:$E$11,MATCH(C829,'Sub-principles'!$A$2:$A$11,0)),""))</f>
        <v/>
      </c>
      <c r="G829" s="33" t="str">
        <f aca="false">IF(OR(D829="",F829=""),"",D829/5*F829)</f>
        <v/>
      </c>
    </row>
    <row r="830" customFormat="false" ht="15" hidden="false" customHeight="true" outlineLevel="0" collapsed="false">
      <c r="A830" s="30"/>
      <c r="C830" s="30"/>
      <c r="F830" s="9" t="str">
        <f aca="false">IF(C830="","",IFERROR(INDEX('Sub-principles'!$E$2:$E$11,MATCH(C830,'Sub-principles'!$A$2:$A$11,0)),""))</f>
        <v/>
      </c>
      <c r="G830" s="33" t="str">
        <f aca="false">IF(OR(D830="",F830=""),"",D830/5*F830)</f>
        <v/>
      </c>
    </row>
    <row r="831" customFormat="false" ht="15" hidden="false" customHeight="true" outlineLevel="0" collapsed="false">
      <c r="A831" s="30"/>
      <c r="C831" s="30"/>
      <c r="F831" s="9" t="str">
        <f aca="false">IF(C831="","",IFERROR(INDEX('Sub-principles'!$E$2:$E$11,MATCH(C831,'Sub-principles'!$A$2:$A$11,0)),""))</f>
        <v/>
      </c>
      <c r="G831" s="33" t="str">
        <f aca="false">IF(OR(D831="",F831=""),"",D831/5*F831)</f>
        <v/>
      </c>
    </row>
    <row r="832" customFormat="false" ht="15" hidden="false" customHeight="true" outlineLevel="0" collapsed="false">
      <c r="A832" s="30"/>
      <c r="C832" s="30"/>
      <c r="F832" s="9" t="str">
        <f aca="false">IF(C832="","",IFERROR(INDEX('Sub-principles'!$E$2:$E$11,MATCH(C832,'Sub-principles'!$A$2:$A$11,0)),""))</f>
        <v/>
      </c>
      <c r="G832" s="33" t="str">
        <f aca="false">IF(OR(D832="",F832=""),"",D832/5*F832)</f>
        <v/>
      </c>
    </row>
    <row r="833" customFormat="false" ht="15" hidden="false" customHeight="true" outlineLevel="0" collapsed="false">
      <c r="A833" s="30"/>
      <c r="C833" s="30"/>
      <c r="F833" s="9" t="str">
        <f aca="false">IF(C833="","",IFERROR(INDEX('Sub-principles'!$E$2:$E$11,MATCH(C833,'Sub-principles'!$A$2:$A$11,0)),""))</f>
        <v/>
      </c>
      <c r="G833" s="33" t="str">
        <f aca="false">IF(OR(D833="",F833=""),"",D833/5*F833)</f>
        <v/>
      </c>
    </row>
    <row r="834" customFormat="false" ht="15" hidden="false" customHeight="true" outlineLevel="0" collapsed="false">
      <c r="A834" s="30"/>
      <c r="C834" s="30"/>
      <c r="F834" s="9" t="str">
        <f aca="false">IF(C834="","",IFERROR(INDEX('Sub-principles'!$E$2:$E$11,MATCH(C834,'Sub-principles'!$A$2:$A$11,0)),""))</f>
        <v/>
      </c>
      <c r="G834" s="33" t="str">
        <f aca="false">IF(OR(D834="",F834=""),"",D834/5*F834)</f>
        <v/>
      </c>
    </row>
    <row r="835" customFormat="false" ht="15" hidden="false" customHeight="true" outlineLevel="0" collapsed="false">
      <c r="A835" s="30"/>
      <c r="C835" s="30"/>
      <c r="F835" s="9" t="str">
        <f aca="false">IF(C835="","",IFERROR(INDEX('Sub-principles'!$E$2:$E$11,MATCH(C835,'Sub-principles'!$A$2:$A$11,0)),""))</f>
        <v/>
      </c>
      <c r="G835" s="33" t="str">
        <f aca="false">IF(OR(D835="",F835=""),"",D835/5*F835)</f>
        <v/>
      </c>
    </row>
    <row r="836" customFormat="false" ht="15" hidden="false" customHeight="true" outlineLevel="0" collapsed="false">
      <c r="A836" s="30"/>
      <c r="C836" s="30"/>
      <c r="F836" s="9" t="str">
        <f aca="false">IF(C836="","",IFERROR(INDEX('Sub-principles'!$E$2:$E$11,MATCH(C836,'Sub-principles'!$A$2:$A$11,0)),""))</f>
        <v/>
      </c>
      <c r="G836" s="33" t="str">
        <f aca="false">IF(OR(D836="",F836=""),"",D836/5*F836)</f>
        <v/>
      </c>
    </row>
    <row r="837" customFormat="false" ht="15" hidden="false" customHeight="true" outlineLevel="0" collapsed="false">
      <c r="A837" s="30"/>
      <c r="C837" s="30"/>
      <c r="F837" s="9" t="str">
        <f aca="false">IF(C837="","",IFERROR(INDEX('Sub-principles'!$E$2:$E$11,MATCH(C837,'Sub-principles'!$A$2:$A$11,0)),""))</f>
        <v/>
      </c>
      <c r="G837" s="33" t="str">
        <f aca="false">IF(OR(D837="",F837=""),"",D837/5*F837)</f>
        <v/>
      </c>
    </row>
    <row r="838" customFormat="false" ht="15" hidden="false" customHeight="true" outlineLevel="0" collapsed="false">
      <c r="A838" s="30"/>
      <c r="C838" s="30"/>
      <c r="F838" s="9" t="str">
        <f aca="false">IF(C838="","",IFERROR(INDEX('Sub-principles'!$E$2:$E$11,MATCH(C838,'Sub-principles'!$A$2:$A$11,0)),""))</f>
        <v/>
      </c>
      <c r="G838" s="33" t="str">
        <f aca="false">IF(OR(D838="",F838=""),"",D838/5*F838)</f>
        <v/>
      </c>
    </row>
    <row r="839" customFormat="false" ht="15" hidden="false" customHeight="true" outlineLevel="0" collapsed="false">
      <c r="A839" s="30"/>
      <c r="C839" s="30"/>
      <c r="F839" s="9" t="str">
        <f aca="false">IF(C839="","",IFERROR(INDEX('Sub-principles'!$E$2:$E$11,MATCH(C839,'Sub-principles'!$A$2:$A$11,0)),""))</f>
        <v/>
      </c>
      <c r="G839" s="33" t="str">
        <f aca="false">IF(OR(D839="",F839=""),"",D839/5*F839)</f>
        <v/>
      </c>
    </row>
    <row r="840" customFormat="false" ht="15" hidden="false" customHeight="true" outlineLevel="0" collapsed="false">
      <c r="A840" s="30"/>
      <c r="C840" s="30"/>
      <c r="F840" s="9" t="str">
        <f aca="false">IF(C840="","",IFERROR(INDEX('Sub-principles'!$E$2:$E$11,MATCH(C840,'Sub-principles'!$A$2:$A$11,0)),""))</f>
        <v/>
      </c>
      <c r="G840" s="33" t="str">
        <f aca="false">IF(OR(D840="",F840=""),"",D840/5*F840)</f>
        <v/>
      </c>
    </row>
    <row r="841" customFormat="false" ht="15" hidden="false" customHeight="true" outlineLevel="0" collapsed="false">
      <c r="A841" s="30"/>
      <c r="C841" s="30"/>
      <c r="F841" s="9" t="str">
        <f aca="false">IF(C841="","",IFERROR(INDEX('Sub-principles'!$E$2:$E$11,MATCH(C841,'Sub-principles'!$A$2:$A$11,0)),""))</f>
        <v/>
      </c>
      <c r="G841" s="33" t="str">
        <f aca="false">IF(OR(D841="",F841=""),"",D841/5*F841)</f>
        <v/>
      </c>
    </row>
    <row r="842" customFormat="false" ht="15" hidden="false" customHeight="true" outlineLevel="0" collapsed="false">
      <c r="A842" s="30"/>
      <c r="C842" s="30"/>
      <c r="F842" s="9" t="str">
        <f aca="false">IF(C842="","",IFERROR(INDEX('Sub-principles'!$E$2:$E$11,MATCH(C842,'Sub-principles'!$A$2:$A$11,0)),""))</f>
        <v/>
      </c>
      <c r="G842" s="33" t="str">
        <f aca="false">IF(OR(D842="",F842=""),"",D842/5*F842)</f>
        <v/>
      </c>
    </row>
    <row r="843" customFormat="false" ht="15" hidden="false" customHeight="true" outlineLevel="0" collapsed="false">
      <c r="A843" s="30"/>
      <c r="C843" s="30"/>
      <c r="F843" s="9" t="str">
        <f aca="false">IF(C843="","",IFERROR(INDEX('Sub-principles'!$E$2:$E$11,MATCH(C843,'Sub-principles'!$A$2:$A$11,0)),""))</f>
        <v/>
      </c>
      <c r="G843" s="33" t="str">
        <f aca="false">IF(OR(D843="",F843=""),"",D843/5*F843)</f>
        <v/>
      </c>
    </row>
    <row r="844" customFormat="false" ht="15" hidden="false" customHeight="true" outlineLevel="0" collapsed="false">
      <c r="A844" s="30"/>
      <c r="C844" s="30"/>
      <c r="F844" s="9" t="str">
        <f aca="false">IF(C844="","",IFERROR(INDEX('Sub-principles'!$E$2:$E$11,MATCH(C844,'Sub-principles'!$A$2:$A$11,0)),""))</f>
        <v/>
      </c>
      <c r="G844" s="33" t="str">
        <f aca="false">IF(OR(D844="",F844=""),"",D844/5*F844)</f>
        <v/>
      </c>
    </row>
    <row r="845" customFormat="false" ht="15" hidden="false" customHeight="true" outlineLevel="0" collapsed="false">
      <c r="A845" s="30"/>
      <c r="C845" s="30"/>
      <c r="F845" s="9" t="str">
        <f aca="false">IF(C845="","",IFERROR(INDEX('Sub-principles'!$E$2:$E$11,MATCH(C845,'Sub-principles'!$A$2:$A$11,0)),""))</f>
        <v/>
      </c>
      <c r="G845" s="33" t="str">
        <f aca="false">IF(OR(D845="",F845=""),"",D845/5*F845)</f>
        <v/>
      </c>
    </row>
    <row r="846" customFormat="false" ht="15" hidden="false" customHeight="true" outlineLevel="0" collapsed="false">
      <c r="A846" s="30"/>
      <c r="C846" s="30"/>
      <c r="F846" s="9" t="str">
        <f aca="false">IF(C846="","",IFERROR(INDEX('Sub-principles'!$E$2:$E$11,MATCH(C846,'Sub-principles'!$A$2:$A$11,0)),""))</f>
        <v/>
      </c>
      <c r="G846" s="33" t="str">
        <f aca="false">IF(OR(D846="",F846=""),"",D846/5*F846)</f>
        <v/>
      </c>
    </row>
    <row r="847" customFormat="false" ht="15" hidden="false" customHeight="true" outlineLevel="0" collapsed="false">
      <c r="A847" s="30"/>
      <c r="C847" s="30"/>
      <c r="F847" s="9" t="str">
        <f aca="false">IF(C847="","",IFERROR(INDEX('Sub-principles'!$E$2:$E$11,MATCH(C847,'Sub-principles'!$A$2:$A$11,0)),""))</f>
        <v/>
      </c>
      <c r="G847" s="33" t="str">
        <f aca="false">IF(OR(D847="",F847=""),"",D847/5*F847)</f>
        <v/>
      </c>
    </row>
    <row r="848" customFormat="false" ht="15" hidden="false" customHeight="true" outlineLevel="0" collapsed="false">
      <c r="A848" s="30"/>
      <c r="C848" s="30"/>
      <c r="F848" s="9" t="str">
        <f aca="false">IF(C848="","",IFERROR(INDEX('Sub-principles'!$E$2:$E$11,MATCH(C848,'Sub-principles'!$A$2:$A$11,0)),""))</f>
        <v/>
      </c>
      <c r="G848" s="33" t="str">
        <f aca="false">IF(OR(D848="",F848=""),"",D848/5*F848)</f>
        <v/>
      </c>
    </row>
    <row r="849" customFormat="false" ht="15" hidden="false" customHeight="true" outlineLevel="0" collapsed="false">
      <c r="A849" s="30"/>
      <c r="C849" s="30"/>
      <c r="F849" s="9" t="str">
        <f aca="false">IF(C849="","",IFERROR(INDEX('Sub-principles'!$E$2:$E$11,MATCH(C849,'Sub-principles'!$A$2:$A$11,0)),""))</f>
        <v/>
      </c>
      <c r="G849" s="33" t="str">
        <f aca="false">IF(OR(D849="",F849=""),"",D849/5*F849)</f>
        <v/>
      </c>
    </row>
    <row r="850" customFormat="false" ht="15" hidden="false" customHeight="true" outlineLevel="0" collapsed="false">
      <c r="A850" s="30"/>
      <c r="C850" s="30"/>
      <c r="F850" s="9" t="str">
        <f aca="false">IF(C850="","",IFERROR(INDEX('Sub-principles'!$E$2:$E$11,MATCH(C850,'Sub-principles'!$A$2:$A$11,0)),""))</f>
        <v/>
      </c>
      <c r="G850" s="33" t="str">
        <f aca="false">IF(OR(D850="",F850=""),"",D850/5*F850)</f>
        <v/>
      </c>
    </row>
    <row r="851" customFormat="false" ht="15" hidden="false" customHeight="true" outlineLevel="0" collapsed="false">
      <c r="A851" s="30"/>
      <c r="C851" s="30"/>
      <c r="F851" s="9" t="str">
        <f aca="false">IF(C851="","",IFERROR(INDEX('Sub-principles'!$E$2:$E$11,MATCH(C851,'Sub-principles'!$A$2:$A$11,0)),""))</f>
        <v/>
      </c>
      <c r="G851" s="33" t="str">
        <f aca="false">IF(OR(D851="",F851=""),"",D851/5*F851)</f>
        <v/>
      </c>
    </row>
    <row r="852" customFormat="false" ht="15" hidden="false" customHeight="true" outlineLevel="0" collapsed="false">
      <c r="A852" s="30"/>
      <c r="C852" s="30"/>
      <c r="F852" s="9" t="str">
        <f aca="false">IF(C852="","",IFERROR(INDEX('Sub-principles'!$E$2:$E$11,MATCH(C852,'Sub-principles'!$A$2:$A$11,0)),""))</f>
        <v/>
      </c>
      <c r="G852" s="33" t="str">
        <f aca="false">IF(OR(D852="",F852=""),"",D852/5*F852)</f>
        <v/>
      </c>
    </row>
    <row r="853" customFormat="false" ht="15" hidden="false" customHeight="true" outlineLevel="0" collapsed="false">
      <c r="A853" s="30"/>
      <c r="C853" s="30"/>
      <c r="F853" s="9" t="str">
        <f aca="false">IF(C853="","",IFERROR(INDEX('Sub-principles'!$E$2:$E$11,MATCH(C853,'Sub-principles'!$A$2:$A$11,0)),""))</f>
        <v/>
      </c>
      <c r="G853" s="33" t="str">
        <f aca="false">IF(OR(D853="",F853=""),"",D853/5*F853)</f>
        <v/>
      </c>
    </row>
    <row r="854" customFormat="false" ht="15" hidden="false" customHeight="true" outlineLevel="0" collapsed="false">
      <c r="A854" s="30"/>
      <c r="C854" s="30"/>
      <c r="F854" s="9" t="str">
        <f aca="false">IF(C854="","",IFERROR(INDEX('Sub-principles'!$E$2:$E$11,MATCH(C854,'Sub-principles'!$A$2:$A$11,0)),""))</f>
        <v/>
      </c>
      <c r="G854" s="33" t="str">
        <f aca="false">IF(OR(D854="",F854=""),"",D854/5*F854)</f>
        <v/>
      </c>
    </row>
    <row r="855" customFormat="false" ht="15" hidden="false" customHeight="true" outlineLevel="0" collapsed="false">
      <c r="A855" s="30"/>
      <c r="C855" s="30"/>
      <c r="F855" s="9" t="str">
        <f aca="false">IF(C855="","",IFERROR(INDEX('Sub-principles'!$E$2:$E$11,MATCH(C855,'Sub-principles'!$A$2:$A$11,0)),""))</f>
        <v/>
      </c>
      <c r="G855" s="33" t="str">
        <f aca="false">IF(OR(D855="",F855=""),"",D855/5*F855)</f>
        <v/>
      </c>
    </row>
    <row r="856" customFormat="false" ht="15" hidden="false" customHeight="true" outlineLevel="0" collapsed="false">
      <c r="A856" s="30"/>
      <c r="C856" s="30"/>
      <c r="F856" s="9" t="str">
        <f aca="false">IF(C856="","",IFERROR(INDEX('Sub-principles'!$E$2:$E$11,MATCH(C856,'Sub-principles'!$A$2:$A$11,0)),""))</f>
        <v/>
      </c>
      <c r="G856" s="33" t="str">
        <f aca="false">IF(OR(D856="",F856=""),"",D856/5*F856)</f>
        <v/>
      </c>
    </row>
    <row r="857" customFormat="false" ht="15" hidden="false" customHeight="true" outlineLevel="0" collapsed="false">
      <c r="A857" s="30"/>
      <c r="C857" s="30"/>
      <c r="F857" s="9" t="str">
        <f aca="false">IF(C857="","",IFERROR(INDEX('Sub-principles'!$E$2:$E$11,MATCH(C857,'Sub-principles'!$A$2:$A$11,0)),""))</f>
        <v/>
      </c>
      <c r="G857" s="33" t="str">
        <f aca="false">IF(OR(D857="",F857=""),"",D857/5*F857)</f>
        <v/>
      </c>
    </row>
    <row r="858" customFormat="false" ht="15" hidden="false" customHeight="true" outlineLevel="0" collapsed="false">
      <c r="A858" s="30"/>
      <c r="C858" s="30"/>
      <c r="F858" s="9" t="str">
        <f aca="false">IF(C858="","",IFERROR(INDEX('Sub-principles'!$E$2:$E$11,MATCH(C858,'Sub-principles'!$A$2:$A$11,0)),""))</f>
        <v/>
      </c>
      <c r="G858" s="33" t="str">
        <f aca="false">IF(OR(D858="",F858=""),"",D858/5*F858)</f>
        <v/>
      </c>
    </row>
    <row r="859" customFormat="false" ht="15" hidden="false" customHeight="true" outlineLevel="0" collapsed="false">
      <c r="A859" s="30"/>
      <c r="C859" s="30"/>
      <c r="F859" s="9" t="str">
        <f aca="false">IF(C859="","",IFERROR(INDEX('Sub-principles'!$E$2:$E$11,MATCH(C859,'Sub-principles'!$A$2:$A$11,0)),""))</f>
        <v/>
      </c>
      <c r="G859" s="33" t="str">
        <f aca="false">IF(OR(D859="",F859=""),"",D859/5*F859)</f>
        <v/>
      </c>
    </row>
    <row r="860" customFormat="false" ht="15" hidden="false" customHeight="true" outlineLevel="0" collapsed="false">
      <c r="A860" s="30"/>
      <c r="C860" s="30"/>
      <c r="F860" s="9" t="str">
        <f aca="false">IF(C860="","",IFERROR(INDEX('Sub-principles'!$E$2:$E$11,MATCH(C860,'Sub-principles'!$A$2:$A$11,0)),""))</f>
        <v/>
      </c>
      <c r="G860" s="33" t="str">
        <f aca="false">IF(OR(D860="",F860=""),"",D860/5*F860)</f>
        <v/>
      </c>
    </row>
    <row r="861" customFormat="false" ht="15" hidden="false" customHeight="true" outlineLevel="0" collapsed="false">
      <c r="A861" s="30"/>
      <c r="C861" s="30"/>
      <c r="F861" s="9" t="str">
        <f aca="false">IF(C861="","",IFERROR(INDEX('Sub-principles'!$E$2:$E$11,MATCH(C861,'Sub-principles'!$A$2:$A$11,0)),""))</f>
        <v/>
      </c>
      <c r="G861" s="33" t="str">
        <f aca="false">IF(OR(D861="",F861=""),"",D861/5*F861)</f>
        <v/>
      </c>
    </row>
    <row r="862" customFormat="false" ht="15" hidden="false" customHeight="true" outlineLevel="0" collapsed="false">
      <c r="A862" s="30"/>
      <c r="C862" s="30"/>
      <c r="F862" s="9" t="str">
        <f aca="false">IF(C862="","",IFERROR(INDEX('Sub-principles'!$E$2:$E$11,MATCH(C862,'Sub-principles'!$A$2:$A$11,0)),""))</f>
        <v/>
      </c>
      <c r="G862" s="33" t="str">
        <f aca="false">IF(OR(D862="",F862=""),"",D862/5*F862)</f>
        <v/>
      </c>
    </row>
    <row r="863" customFormat="false" ht="15" hidden="false" customHeight="true" outlineLevel="0" collapsed="false">
      <c r="A863" s="30"/>
      <c r="C863" s="30"/>
      <c r="F863" s="9" t="str">
        <f aca="false">IF(C863="","",IFERROR(INDEX('Sub-principles'!$E$2:$E$11,MATCH(C863,'Sub-principles'!$A$2:$A$11,0)),""))</f>
        <v/>
      </c>
      <c r="G863" s="33" t="str">
        <f aca="false">IF(OR(D863="",F863=""),"",D863/5*F863)</f>
        <v/>
      </c>
    </row>
    <row r="864" customFormat="false" ht="15" hidden="false" customHeight="true" outlineLevel="0" collapsed="false">
      <c r="A864" s="30"/>
      <c r="C864" s="30"/>
      <c r="F864" s="9" t="str">
        <f aca="false">IF(C864="","",IFERROR(INDEX('Sub-principles'!$E$2:$E$11,MATCH(C864,'Sub-principles'!$A$2:$A$11,0)),""))</f>
        <v/>
      </c>
      <c r="G864" s="33" t="str">
        <f aca="false">IF(OR(D864="",F864=""),"",D864/5*F864)</f>
        <v/>
      </c>
    </row>
    <row r="865" customFormat="false" ht="15" hidden="false" customHeight="true" outlineLevel="0" collapsed="false">
      <c r="A865" s="30"/>
      <c r="C865" s="30"/>
      <c r="F865" s="9" t="str">
        <f aca="false">IF(C865="","",IFERROR(INDEX('Sub-principles'!$E$2:$E$11,MATCH(C865,'Sub-principles'!$A$2:$A$11,0)),""))</f>
        <v/>
      </c>
      <c r="G865" s="33" t="str">
        <f aca="false">IF(OR(D865="",F865=""),"",D865/5*F865)</f>
        <v/>
      </c>
    </row>
    <row r="866" customFormat="false" ht="15" hidden="false" customHeight="true" outlineLevel="0" collapsed="false">
      <c r="A866" s="30"/>
      <c r="C866" s="30"/>
      <c r="F866" s="9" t="str">
        <f aca="false">IF(C866="","",IFERROR(INDEX('Sub-principles'!$E$2:$E$11,MATCH(C866,'Sub-principles'!$A$2:$A$11,0)),""))</f>
        <v/>
      </c>
      <c r="G866" s="33" t="str">
        <f aca="false">IF(OR(D866="",F866=""),"",D866/5*F866)</f>
        <v/>
      </c>
    </row>
    <row r="867" customFormat="false" ht="15" hidden="false" customHeight="true" outlineLevel="0" collapsed="false">
      <c r="A867" s="30"/>
      <c r="C867" s="30"/>
      <c r="F867" s="9" t="str">
        <f aca="false">IF(C867="","",IFERROR(INDEX('Sub-principles'!$E$2:$E$11,MATCH(C867,'Sub-principles'!$A$2:$A$11,0)),""))</f>
        <v/>
      </c>
      <c r="G867" s="33" t="str">
        <f aca="false">IF(OR(D867="",F867=""),"",D867/5*F867)</f>
        <v/>
      </c>
    </row>
    <row r="868" customFormat="false" ht="15" hidden="false" customHeight="true" outlineLevel="0" collapsed="false">
      <c r="A868" s="30"/>
      <c r="C868" s="30"/>
      <c r="F868" s="9" t="str">
        <f aca="false">IF(C868="","",IFERROR(INDEX('Sub-principles'!$E$2:$E$11,MATCH(C868,'Sub-principles'!$A$2:$A$11,0)),""))</f>
        <v/>
      </c>
      <c r="G868" s="33" t="str">
        <f aca="false">IF(OR(D868="",F868=""),"",D868/5*F868)</f>
        <v/>
      </c>
    </row>
    <row r="869" customFormat="false" ht="15" hidden="false" customHeight="true" outlineLevel="0" collapsed="false">
      <c r="A869" s="30"/>
      <c r="C869" s="30"/>
      <c r="F869" s="9" t="str">
        <f aca="false">IF(C869="","",IFERROR(INDEX('Sub-principles'!$E$2:$E$11,MATCH(C869,'Sub-principles'!$A$2:$A$11,0)),""))</f>
        <v/>
      </c>
      <c r="G869" s="33" t="str">
        <f aca="false">IF(OR(D869="",F869=""),"",D869/5*F869)</f>
        <v/>
      </c>
    </row>
    <row r="870" customFormat="false" ht="15" hidden="false" customHeight="true" outlineLevel="0" collapsed="false">
      <c r="A870" s="30"/>
      <c r="C870" s="30"/>
      <c r="F870" s="9" t="str">
        <f aca="false">IF(C870="","",IFERROR(INDEX('Sub-principles'!$E$2:$E$11,MATCH(C870,'Sub-principles'!$A$2:$A$11,0)),""))</f>
        <v/>
      </c>
      <c r="G870" s="33" t="str">
        <f aca="false">IF(OR(D870="",F870=""),"",D870/5*F870)</f>
        <v/>
      </c>
    </row>
    <row r="871" customFormat="false" ht="15" hidden="false" customHeight="true" outlineLevel="0" collapsed="false">
      <c r="A871" s="30"/>
      <c r="C871" s="30"/>
      <c r="F871" s="9" t="str">
        <f aca="false">IF(C871="","",IFERROR(INDEX('Sub-principles'!$E$2:$E$11,MATCH(C871,'Sub-principles'!$A$2:$A$11,0)),""))</f>
        <v/>
      </c>
      <c r="G871" s="33" t="str">
        <f aca="false">IF(OR(D871="",F871=""),"",D871/5*F871)</f>
        <v/>
      </c>
    </row>
    <row r="872" customFormat="false" ht="15" hidden="false" customHeight="true" outlineLevel="0" collapsed="false">
      <c r="A872" s="30"/>
      <c r="C872" s="30"/>
      <c r="F872" s="9" t="str">
        <f aca="false">IF(C872="","",IFERROR(INDEX('Sub-principles'!$E$2:$E$11,MATCH(C872,'Sub-principles'!$A$2:$A$11,0)),""))</f>
        <v/>
      </c>
      <c r="G872" s="33" t="str">
        <f aca="false">IF(OR(D872="",F872=""),"",D872/5*F872)</f>
        <v/>
      </c>
    </row>
    <row r="873" customFormat="false" ht="15" hidden="false" customHeight="true" outlineLevel="0" collapsed="false">
      <c r="A873" s="30"/>
      <c r="C873" s="30"/>
      <c r="F873" s="9" t="str">
        <f aca="false">IF(C873="","",IFERROR(INDEX('Sub-principles'!$E$2:$E$11,MATCH(C873,'Sub-principles'!$A$2:$A$11,0)),""))</f>
        <v/>
      </c>
      <c r="G873" s="33" t="str">
        <f aca="false">IF(OR(D873="",F873=""),"",D873/5*F873)</f>
        <v/>
      </c>
    </row>
    <row r="874" customFormat="false" ht="15" hidden="false" customHeight="true" outlineLevel="0" collapsed="false">
      <c r="A874" s="30"/>
      <c r="C874" s="30"/>
      <c r="F874" s="9" t="str">
        <f aca="false">IF(C874="","",IFERROR(INDEX('Sub-principles'!$E$2:$E$11,MATCH(C874,'Sub-principles'!$A$2:$A$11,0)),""))</f>
        <v/>
      </c>
      <c r="G874" s="33" t="str">
        <f aca="false">IF(OR(D874="",F874=""),"",D874/5*F874)</f>
        <v/>
      </c>
    </row>
    <row r="875" customFormat="false" ht="15" hidden="false" customHeight="true" outlineLevel="0" collapsed="false">
      <c r="A875" s="30"/>
      <c r="C875" s="30"/>
      <c r="F875" s="9" t="str">
        <f aca="false">IF(C875="","",IFERROR(INDEX('Sub-principles'!$E$2:$E$11,MATCH(C875,'Sub-principles'!$A$2:$A$11,0)),""))</f>
        <v/>
      </c>
      <c r="G875" s="33" t="str">
        <f aca="false">IF(OR(D875="",F875=""),"",D875/5*F875)</f>
        <v/>
      </c>
    </row>
    <row r="876" customFormat="false" ht="15" hidden="false" customHeight="true" outlineLevel="0" collapsed="false">
      <c r="A876" s="30"/>
      <c r="C876" s="30"/>
      <c r="F876" s="9" t="str">
        <f aca="false">IF(C876="","",IFERROR(INDEX('Sub-principles'!$E$2:$E$11,MATCH(C876,'Sub-principles'!$A$2:$A$11,0)),""))</f>
        <v/>
      </c>
      <c r="G876" s="33" t="str">
        <f aca="false">IF(OR(D876="",F876=""),"",D876/5*F876)</f>
        <v/>
      </c>
    </row>
    <row r="877" customFormat="false" ht="15" hidden="false" customHeight="true" outlineLevel="0" collapsed="false">
      <c r="A877" s="30"/>
      <c r="C877" s="30"/>
      <c r="F877" s="9" t="str">
        <f aca="false">IF(C877="","",IFERROR(INDEX('Sub-principles'!$E$2:$E$11,MATCH(C877,'Sub-principles'!$A$2:$A$11,0)),""))</f>
        <v/>
      </c>
      <c r="G877" s="33" t="str">
        <f aca="false">IF(OR(D877="",F877=""),"",D877/5*F877)</f>
        <v/>
      </c>
    </row>
    <row r="878" customFormat="false" ht="15" hidden="false" customHeight="true" outlineLevel="0" collapsed="false">
      <c r="A878" s="30"/>
      <c r="C878" s="30"/>
      <c r="F878" s="9" t="str">
        <f aca="false">IF(C878="","",IFERROR(INDEX('Sub-principles'!$E$2:$E$11,MATCH(C878,'Sub-principles'!$A$2:$A$11,0)),""))</f>
        <v/>
      </c>
      <c r="G878" s="33" t="str">
        <f aca="false">IF(OR(D878="",F878=""),"",D878/5*F878)</f>
        <v/>
      </c>
    </row>
    <row r="879" customFormat="false" ht="15" hidden="false" customHeight="true" outlineLevel="0" collapsed="false">
      <c r="A879" s="30"/>
      <c r="C879" s="30"/>
      <c r="F879" s="9" t="str">
        <f aca="false">IF(C879="","",IFERROR(INDEX('Sub-principles'!$E$2:$E$11,MATCH(C879,'Sub-principles'!$A$2:$A$11,0)),""))</f>
        <v/>
      </c>
      <c r="G879" s="33" t="str">
        <f aca="false">IF(OR(D879="",F879=""),"",D879/5*F879)</f>
        <v/>
      </c>
    </row>
    <row r="880" customFormat="false" ht="15" hidden="false" customHeight="true" outlineLevel="0" collapsed="false">
      <c r="A880" s="30"/>
      <c r="C880" s="30"/>
      <c r="F880" s="9" t="str">
        <f aca="false">IF(C880="","",IFERROR(INDEX('Sub-principles'!$E$2:$E$11,MATCH(C880,'Sub-principles'!$A$2:$A$11,0)),""))</f>
        <v/>
      </c>
      <c r="G880" s="33" t="str">
        <f aca="false">IF(OR(D880="",F880=""),"",D880/5*F880)</f>
        <v/>
      </c>
    </row>
    <row r="881" customFormat="false" ht="15" hidden="false" customHeight="true" outlineLevel="0" collapsed="false">
      <c r="A881" s="30"/>
      <c r="C881" s="30"/>
      <c r="F881" s="9" t="str">
        <f aca="false">IF(C881="","",IFERROR(INDEX('Sub-principles'!$E$2:$E$11,MATCH(C881,'Sub-principles'!$A$2:$A$11,0)),""))</f>
        <v/>
      </c>
      <c r="G881" s="33" t="str">
        <f aca="false">IF(OR(D881="",F881=""),"",D881/5*F881)</f>
        <v/>
      </c>
    </row>
    <row r="882" customFormat="false" ht="15" hidden="false" customHeight="true" outlineLevel="0" collapsed="false">
      <c r="A882" s="30"/>
      <c r="C882" s="30"/>
      <c r="F882" s="9" t="str">
        <f aca="false">IF(C882="","",IFERROR(INDEX('Sub-principles'!$E$2:$E$11,MATCH(C882,'Sub-principles'!$A$2:$A$11,0)),""))</f>
        <v/>
      </c>
      <c r="G882" s="33" t="str">
        <f aca="false">IF(OR(D882="",F882=""),"",D882/5*F882)</f>
        <v/>
      </c>
    </row>
    <row r="883" customFormat="false" ht="15" hidden="false" customHeight="true" outlineLevel="0" collapsed="false">
      <c r="A883" s="30"/>
      <c r="C883" s="30"/>
      <c r="F883" s="9" t="str">
        <f aca="false">IF(C883="","",IFERROR(INDEX('Sub-principles'!$E$2:$E$11,MATCH(C883,'Sub-principles'!$A$2:$A$11,0)),""))</f>
        <v/>
      </c>
      <c r="G883" s="33" t="str">
        <f aca="false">IF(OR(D883="",F883=""),"",D883/5*F883)</f>
        <v/>
      </c>
    </row>
    <row r="884" customFormat="false" ht="15" hidden="false" customHeight="true" outlineLevel="0" collapsed="false">
      <c r="A884" s="30"/>
      <c r="C884" s="30"/>
      <c r="F884" s="9" t="str">
        <f aca="false">IF(C884="","",IFERROR(INDEX('Sub-principles'!$E$2:$E$11,MATCH(C884,'Sub-principles'!$A$2:$A$11,0)),""))</f>
        <v/>
      </c>
      <c r="G884" s="33" t="str">
        <f aca="false">IF(OR(D884="",F884=""),"",D884/5*F884)</f>
        <v/>
      </c>
    </row>
    <row r="885" customFormat="false" ht="15" hidden="false" customHeight="true" outlineLevel="0" collapsed="false">
      <c r="A885" s="30"/>
      <c r="C885" s="30"/>
      <c r="F885" s="9" t="str">
        <f aca="false">IF(C885="","",IFERROR(INDEX('Sub-principles'!$E$2:$E$11,MATCH(C885,'Sub-principles'!$A$2:$A$11,0)),""))</f>
        <v/>
      </c>
      <c r="G885" s="33" t="str">
        <f aca="false">IF(OR(D885="",F885=""),"",D885/5*F885)</f>
        <v/>
      </c>
    </row>
    <row r="886" customFormat="false" ht="15" hidden="false" customHeight="true" outlineLevel="0" collapsed="false">
      <c r="A886" s="30"/>
      <c r="C886" s="30"/>
      <c r="F886" s="9" t="str">
        <f aca="false">IF(C886="","",IFERROR(INDEX('Sub-principles'!$E$2:$E$11,MATCH(C886,'Sub-principles'!$A$2:$A$11,0)),""))</f>
        <v/>
      </c>
      <c r="G886" s="33" t="str">
        <f aca="false">IF(OR(D886="",F886=""),"",D886/5*F886)</f>
        <v/>
      </c>
    </row>
    <row r="887" customFormat="false" ht="15" hidden="false" customHeight="true" outlineLevel="0" collapsed="false">
      <c r="A887" s="30"/>
      <c r="C887" s="30"/>
      <c r="F887" s="9" t="str">
        <f aca="false">IF(C887="","",IFERROR(INDEX('Sub-principles'!$E$2:$E$11,MATCH(C887,'Sub-principles'!$A$2:$A$11,0)),""))</f>
        <v/>
      </c>
      <c r="G887" s="33" t="str">
        <f aca="false">IF(OR(D887="",F887=""),"",D887/5*F887)</f>
        <v/>
      </c>
    </row>
    <row r="888" customFormat="false" ht="15" hidden="false" customHeight="true" outlineLevel="0" collapsed="false">
      <c r="A888" s="30"/>
      <c r="C888" s="30"/>
      <c r="F888" s="9" t="str">
        <f aca="false">IF(C888="","",IFERROR(INDEX('Sub-principles'!$E$2:$E$11,MATCH(C888,'Sub-principles'!$A$2:$A$11,0)),""))</f>
        <v/>
      </c>
      <c r="G888" s="33" t="str">
        <f aca="false">IF(OR(D888="",F888=""),"",D888/5*F888)</f>
        <v/>
      </c>
    </row>
    <row r="889" customFormat="false" ht="15" hidden="false" customHeight="true" outlineLevel="0" collapsed="false">
      <c r="A889" s="30"/>
      <c r="C889" s="30"/>
      <c r="F889" s="9" t="str">
        <f aca="false">IF(C889="","",IFERROR(INDEX('Sub-principles'!$E$2:$E$11,MATCH(C889,'Sub-principles'!$A$2:$A$11,0)),""))</f>
        <v/>
      </c>
      <c r="G889" s="33" t="str">
        <f aca="false">IF(OR(D889="",F889=""),"",D889/5*F889)</f>
        <v/>
      </c>
    </row>
    <row r="890" customFormat="false" ht="15" hidden="false" customHeight="true" outlineLevel="0" collapsed="false">
      <c r="A890" s="30"/>
      <c r="C890" s="30"/>
      <c r="F890" s="9" t="str">
        <f aca="false">IF(C890="","",IFERROR(INDEX('Sub-principles'!$E$2:$E$11,MATCH(C890,'Sub-principles'!$A$2:$A$11,0)),""))</f>
        <v/>
      </c>
      <c r="G890" s="33" t="str">
        <f aca="false">IF(OR(D890="",F890=""),"",D890/5*F890)</f>
        <v/>
      </c>
    </row>
    <row r="891" customFormat="false" ht="15" hidden="false" customHeight="true" outlineLevel="0" collapsed="false">
      <c r="A891" s="30"/>
      <c r="C891" s="30"/>
      <c r="F891" s="9" t="str">
        <f aca="false">IF(C891="","",IFERROR(INDEX('Sub-principles'!$E$2:$E$11,MATCH(C891,'Sub-principles'!$A$2:$A$11,0)),""))</f>
        <v/>
      </c>
      <c r="G891" s="33" t="str">
        <f aca="false">IF(OR(D891="",F891=""),"",D891/5*F891)</f>
        <v/>
      </c>
    </row>
    <row r="892" customFormat="false" ht="15" hidden="false" customHeight="true" outlineLevel="0" collapsed="false">
      <c r="A892" s="30"/>
      <c r="C892" s="30"/>
      <c r="F892" s="9" t="str">
        <f aca="false">IF(C892="","",IFERROR(INDEX('Sub-principles'!$E$2:$E$11,MATCH(C892,'Sub-principles'!$A$2:$A$11,0)),""))</f>
        <v/>
      </c>
      <c r="G892" s="33" t="str">
        <f aca="false">IF(OR(D892="",F892=""),"",D892/5*F892)</f>
        <v/>
      </c>
    </row>
    <row r="893" customFormat="false" ht="15" hidden="false" customHeight="true" outlineLevel="0" collapsed="false">
      <c r="A893" s="30"/>
      <c r="C893" s="30"/>
      <c r="F893" s="9" t="str">
        <f aca="false">IF(C893="","",IFERROR(INDEX('Sub-principles'!$E$2:$E$11,MATCH(C893,'Sub-principles'!$A$2:$A$11,0)),""))</f>
        <v/>
      </c>
      <c r="G893" s="33" t="str">
        <f aca="false">IF(OR(D893="",F893=""),"",D893/5*F893)</f>
        <v/>
      </c>
    </row>
    <row r="894" customFormat="false" ht="15" hidden="false" customHeight="true" outlineLevel="0" collapsed="false">
      <c r="A894" s="30"/>
      <c r="C894" s="30"/>
      <c r="F894" s="9" t="str">
        <f aca="false">IF(C894="","",IFERROR(INDEX('Sub-principles'!$E$2:$E$11,MATCH(C894,'Sub-principles'!$A$2:$A$11,0)),""))</f>
        <v/>
      </c>
      <c r="G894" s="33" t="str">
        <f aca="false">IF(OR(D894="",F894=""),"",D894/5*F894)</f>
        <v/>
      </c>
    </row>
    <row r="895" customFormat="false" ht="15" hidden="false" customHeight="true" outlineLevel="0" collapsed="false">
      <c r="A895" s="30"/>
      <c r="C895" s="30"/>
      <c r="F895" s="9" t="str">
        <f aca="false">IF(C895="","",IFERROR(INDEX('Sub-principles'!$E$2:$E$11,MATCH(C895,'Sub-principles'!$A$2:$A$11,0)),""))</f>
        <v/>
      </c>
      <c r="G895" s="33" t="str">
        <f aca="false">IF(OR(D895="",F895=""),"",D895/5*F895)</f>
        <v/>
      </c>
    </row>
    <row r="896" customFormat="false" ht="15" hidden="false" customHeight="true" outlineLevel="0" collapsed="false">
      <c r="A896" s="30"/>
      <c r="C896" s="30"/>
      <c r="F896" s="9" t="str">
        <f aca="false">IF(C896="","",IFERROR(INDEX('Sub-principles'!$E$2:$E$11,MATCH(C896,'Sub-principles'!$A$2:$A$11,0)),""))</f>
        <v/>
      </c>
      <c r="G896" s="33" t="str">
        <f aca="false">IF(OR(D896="",F896=""),"",D896/5*F896)</f>
        <v/>
      </c>
    </row>
    <row r="897" customFormat="false" ht="15" hidden="false" customHeight="true" outlineLevel="0" collapsed="false">
      <c r="A897" s="30"/>
      <c r="C897" s="30"/>
      <c r="F897" s="9" t="str">
        <f aca="false">IF(C897="","",IFERROR(INDEX('Sub-principles'!$E$2:$E$11,MATCH(C897,'Sub-principles'!$A$2:$A$11,0)),""))</f>
        <v/>
      </c>
      <c r="G897" s="33" t="str">
        <f aca="false">IF(OR(D897="",F897=""),"",D897/5*F897)</f>
        <v/>
      </c>
    </row>
    <row r="898" customFormat="false" ht="15" hidden="false" customHeight="true" outlineLevel="0" collapsed="false">
      <c r="A898" s="30"/>
      <c r="C898" s="30"/>
      <c r="F898" s="9" t="str">
        <f aca="false">IF(C898="","",IFERROR(INDEX('Sub-principles'!$E$2:$E$11,MATCH(C898,'Sub-principles'!$A$2:$A$11,0)),""))</f>
        <v/>
      </c>
      <c r="G898" s="33" t="str">
        <f aca="false">IF(OR(D898="",F898=""),"",D898/5*F898)</f>
        <v/>
      </c>
    </row>
    <row r="899" customFormat="false" ht="15" hidden="false" customHeight="true" outlineLevel="0" collapsed="false">
      <c r="A899" s="30"/>
      <c r="C899" s="30"/>
      <c r="F899" s="9" t="str">
        <f aca="false">IF(C899="","",IFERROR(INDEX('Sub-principles'!$E$2:$E$11,MATCH(C899,'Sub-principles'!$A$2:$A$11,0)),""))</f>
        <v/>
      </c>
      <c r="G899" s="33" t="str">
        <f aca="false">IF(OR(D899="",F899=""),"",D899/5*F899)</f>
        <v/>
      </c>
    </row>
    <row r="900" customFormat="false" ht="15" hidden="false" customHeight="true" outlineLevel="0" collapsed="false">
      <c r="A900" s="30"/>
      <c r="C900" s="30"/>
      <c r="F900" s="9" t="str">
        <f aca="false">IF(C900="","",IFERROR(INDEX('Sub-principles'!$E$2:$E$11,MATCH(C900,'Sub-principles'!$A$2:$A$11,0)),""))</f>
        <v/>
      </c>
      <c r="G900" s="33" t="str">
        <f aca="false">IF(OR(D900="",F900=""),"",D900/5*F900)</f>
        <v/>
      </c>
    </row>
    <row r="901" customFormat="false" ht="15" hidden="false" customHeight="true" outlineLevel="0" collapsed="false">
      <c r="A901" s="30"/>
      <c r="C901" s="30"/>
      <c r="F901" s="9" t="str">
        <f aca="false">IF(C901="","",IFERROR(INDEX('Sub-principles'!$E$2:$E$11,MATCH(C901,'Sub-principles'!$A$2:$A$11,0)),""))</f>
        <v/>
      </c>
      <c r="G901" s="33" t="str">
        <f aca="false">IF(OR(D901="",F901=""),"",D901/5*F901)</f>
        <v/>
      </c>
    </row>
    <row r="902" customFormat="false" ht="15" hidden="false" customHeight="true" outlineLevel="0" collapsed="false">
      <c r="A902" s="30"/>
      <c r="C902" s="30"/>
      <c r="F902" s="9" t="str">
        <f aca="false">IF(C902="","",IFERROR(INDEX('Sub-principles'!$E$2:$E$11,MATCH(C902,'Sub-principles'!$A$2:$A$11,0)),""))</f>
        <v/>
      </c>
      <c r="G902" s="33" t="str">
        <f aca="false">IF(OR(D902="",F902=""),"",D902/5*F902)</f>
        <v/>
      </c>
    </row>
    <row r="903" customFormat="false" ht="15" hidden="false" customHeight="true" outlineLevel="0" collapsed="false">
      <c r="A903" s="30"/>
      <c r="C903" s="30"/>
      <c r="F903" s="9" t="str">
        <f aca="false">IF(C903="","",IFERROR(INDEX('Sub-principles'!$E$2:$E$11,MATCH(C903,'Sub-principles'!$A$2:$A$11,0)),""))</f>
        <v/>
      </c>
      <c r="G903" s="33" t="str">
        <f aca="false">IF(OR(D903="",F903=""),"",D903/5*F903)</f>
        <v/>
      </c>
    </row>
    <row r="904" customFormat="false" ht="15" hidden="false" customHeight="true" outlineLevel="0" collapsed="false">
      <c r="A904" s="30"/>
      <c r="C904" s="30"/>
      <c r="F904" s="9" t="str">
        <f aca="false">IF(C904="","",IFERROR(INDEX('Sub-principles'!$E$2:$E$11,MATCH(C904,'Sub-principles'!$A$2:$A$11,0)),""))</f>
        <v/>
      </c>
      <c r="G904" s="33" t="str">
        <f aca="false">IF(OR(D904="",F904=""),"",D904/5*F904)</f>
        <v/>
      </c>
    </row>
    <row r="905" customFormat="false" ht="15" hidden="false" customHeight="true" outlineLevel="0" collapsed="false">
      <c r="A905" s="30"/>
      <c r="C905" s="30"/>
      <c r="F905" s="9" t="str">
        <f aca="false">IF(C905="","",IFERROR(INDEX('Sub-principles'!$E$2:$E$11,MATCH(C905,'Sub-principles'!$A$2:$A$11,0)),""))</f>
        <v/>
      </c>
      <c r="G905" s="33" t="str">
        <f aca="false">IF(OR(D905="",F905=""),"",D905/5*F905)</f>
        <v/>
      </c>
    </row>
    <row r="906" customFormat="false" ht="15" hidden="false" customHeight="true" outlineLevel="0" collapsed="false">
      <c r="A906" s="30"/>
      <c r="C906" s="30"/>
      <c r="F906" s="9" t="str">
        <f aca="false">IF(C906="","",IFERROR(INDEX('Sub-principles'!$E$2:$E$11,MATCH(C906,'Sub-principles'!$A$2:$A$11,0)),""))</f>
        <v/>
      </c>
      <c r="G906" s="33" t="str">
        <f aca="false">IF(OR(D906="",F906=""),"",D906/5*F906)</f>
        <v/>
      </c>
    </row>
    <row r="907" customFormat="false" ht="15" hidden="false" customHeight="true" outlineLevel="0" collapsed="false">
      <c r="A907" s="30"/>
      <c r="C907" s="30"/>
      <c r="F907" s="9" t="str">
        <f aca="false">IF(C907="","",IFERROR(INDEX('Sub-principles'!$E$2:$E$11,MATCH(C907,'Sub-principles'!$A$2:$A$11,0)),""))</f>
        <v/>
      </c>
      <c r="G907" s="33" t="str">
        <f aca="false">IF(OR(D907="",F907=""),"",D907/5*F907)</f>
        <v/>
      </c>
    </row>
    <row r="908" customFormat="false" ht="15" hidden="false" customHeight="true" outlineLevel="0" collapsed="false">
      <c r="A908" s="30"/>
      <c r="C908" s="30"/>
      <c r="F908" s="9" t="str">
        <f aca="false">IF(C908="","",IFERROR(INDEX('Sub-principles'!$E$2:$E$11,MATCH(C908,'Sub-principles'!$A$2:$A$11,0)),""))</f>
        <v/>
      </c>
      <c r="G908" s="33" t="str">
        <f aca="false">IF(OR(D908="",F908=""),"",D908/5*F908)</f>
        <v/>
      </c>
    </row>
    <row r="909" customFormat="false" ht="15" hidden="false" customHeight="true" outlineLevel="0" collapsed="false">
      <c r="A909" s="30"/>
      <c r="C909" s="30"/>
      <c r="F909" s="9" t="str">
        <f aca="false">IF(C909="","",IFERROR(INDEX('Sub-principles'!$E$2:$E$11,MATCH(C909,'Sub-principles'!$A$2:$A$11,0)),""))</f>
        <v/>
      </c>
      <c r="G909" s="33" t="str">
        <f aca="false">IF(OR(D909="",F909=""),"",D909/5*F909)</f>
        <v/>
      </c>
    </row>
    <row r="910" customFormat="false" ht="15" hidden="false" customHeight="true" outlineLevel="0" collapsed="false">
      <c r="A910" s="30"/>
      <c r="C910" s="30"/>
      <c r="F910" s="9" t="str">
        <f aca="false">IF(C910="","",IFERROR(INDEX('Sub-principles'!$E$2:$E$11,MATCH(C910,'Sub-principles'!$A$2:$A$11,0)),""))</f>
        <v/>
      </c>
      <c r="G910" s="33" t="str">
        <f aca="false">IF(OR(D910="",F910=""),"",D910/5*F910)</f>
        <v/>
      </c>
    </row>
    <row r="911" customFormat="false" ht="15" hidden="false" customHeight="true" outlineLevel="0" collapsed="false">
      <c r="A911" s="30"/>
      <c r="C911" s="30"/>
      <c r="F911" s="9" t="str">
        <f aca="false">IF(C911="","",IFERROR(INDEX('Sub-principles'!$E$2:$E$11,MATCH(C911,'Sub-principles'!$A$2:$A$11,0)),""))</f>
        <v/>
      </c>
      <c r="G911" s="33" t="str">
        <f aca="false">IF(OR(D911="",F911=""),"",D911/5*F911)</f>
        <v/>
      </c>
    </row>
    <row r="912" customFormat="false" ht="15" hidden="false" customHeight="true" outlineLevel="0" collapsed="false">
      <c r="A912" s="30"/>
      <c r="C912" s="30"/>
      <c r="F912" s="9" t="str">
        <f aca="false">IF(C912="","",IFERROR(INDEX('Sub-principles'!$E$2:$E$11,MATCH(C912,'Sub-principles'!$A$2:$A$11,0)),""))</f>
        <v/>
      </c>
      <c r="G912" s="33" t="str">
        <f aca="false">IF(OR(D912="",F912=""),"",D912/5*F912)</f>
        <v/>
      </c>
    </row>
    <row r="913" customFormat="false" ht="15" hidden="false" customHeight="true" outlineLevel="0" collapsed="false">
      <c r="A913" s="30"/>
      <c r="C913" s="30"/>
      <c r="F913" s="9" t="str">
        <f aca="false">IF(C913="","",IFERROR(INDEX('Sub-principles'!$E$2:$E$11,MATCH(C913,'Sub-principles'!$A$2:$A$11,0)),""))</f>
        <v/>
      </c>
      <c r="G913" s="33" t="str">
        <f aca="false">IF(OR(D913="",F913=""),"",D913/5*F913)</f>
        <v/>
      </c>
    </row>
    <row r="914" customFormat="false" ht="15" hidden="false" customHeight="true" outlineLevel="0" collapsed="false">
      <c r="A914" s="30"/>
      <c r="C914" s="30"/>
      <c r="F914" s="9" t="str">
        <f aca="false">IF(C914="","",IFERROR(INDEX('Sub-principles'!$E$2:$E$11,MATCH(C914,'Sub-principles'!$A$2:$A$11,0)),""))</f>
        <v/>
      </c>
      <c r="G914" s="33" t="str">
        <f aca="false">IF(OR(D914="",F914=""),"",D914/5*F914)</f>
        <v/>
      </c>
    </row>
    <row r="915" customFormat="false" ht="15" hidden="false" customHeight="true" outlineLevel="0" collapsed="false">
      <c r="A915" s="30"/>
      <c r="C915" s="30"/>
      <c r="F915" s="9" t="str">
        <f aca="false">IF(C915="","",IFERROR(INDEX('Sub-principles'!$E$2:$E$11,MATCH(C915,'Sub-principles'!$A$2:$A$11,0)),""))</f>
        <v/>
      </c>
      <c r="G915" s="33" t="str">
        <f aca="false">IF(OR(D915="",F915=""),"",D915/5*F915)</f>
        <v/>
      </c>
    </row>
    <row r="916" customFormat="false" ht="15" hidden="false" customHeight="true" outlineLevel="0" collapsed="false">
      <c r="A916" s="30"/>
      <c r="C916" s="30"/>
      <c r="F916" s="9" t="str">
        <f aca="false">IF(C916="","",IFERROR(INDEX('Sub-principles'!$E$2:$E$11,MATCH(C916,'Sub-principles'!$A$2:$A$11,0)),""))</f>
        <v/>
      </c>
      <c r="G916" s="33" t="str">
        <f aca="false">IF(OR(D916="",F916=""),"",D916/5*F916)</f>
        <v/>
      </c>
    </row>
    <row r="917" customFormat="false" ht="15" hidden="false" customHeight="true" outlineLevel="0" collapsed="false">
      <c r="A917" s="30"/>
      <c r="C917" s="30"/>
      <c r="F917" s="9" t="str">
        <f aca="false">IF(C917="","",IFERROR(INDEX('Sub-principles'!$E$2:$E$11,MATCH(C917,'Sub-principles'!$A$2:$A$11,0)),""))</f>
        <v/>
      </c>
      <c r="G917" s="33" t="str">
        <f aca="false">IF(OR(D917="",F917=""),"",D917/5*F917)</f>
        <v/>
      </c>
    </row>
    <row r="918" customFormat="false" ht="15" hidden="false" customHeight="true" outlineLevel="0" collapsed="false">
      <c r="A918" s="30"/>
      <c r="C918" s="30"/>
      <c r="F918" s="9" t="str">
        <f aca="false">IF(C918="","",IFERROR(INDEX('Sub-principles'!$E$2:$E$11,MATCH(C918,'Sub-principles'!$A$2:$A$11,0)),""))</f>
        <v/>
      </c>
      <c r="G918" s="33" t="str">
        <f aca="false">IF(OR(D918="",F918=""),"",D918/5*F918)</f>
        <v/>
      </c>
    </row>
    <row r="919" customFormat="false" ht="15" hidden="false" customHeight="true" outlineLevel="0" collapsed="false">
      <c r="A919" s="30"/>
      <c r="C919" s="30"/>
      <c r="F919" s="9" t="str">
        <f aca="false">IF(C919="","",IFERROR(INDEX('Sub-principles'!$E$2:$E$11,MATCH(C919,'Sub-principles'!$A$2:$A$11,0)),""))</f>
        <v/>
      </c>
      <c r="G919" s="33" t="str">
        <f aca="false">IF(OR(D919="",F919=""),"",D919/5*F919)</f>
        <v/>
      </c>
    </row>
    <row r="920" customFormat="false" ht="15" hidden="false" customHeight="true" outlineLevel="0" collapsed="false">
      <c r="A920" s="30"/>
      <c r="C920" s="30"/>
      <c r="F920" s="9" t="str">
        <f aca="false">IF(C920="","",IFERROR(INDEX('Sub-principles'!$E$2:$E$11,MATCH(C920,'Sub-principles'!$A$2:$A$11,0)),""))</f>
        <v/>
      </c>
      <c r="G920" s="33" t="str">
        <f aca="false">IF(OR(D920="",F920=""),"",D920/5*F920)</f>
        <v/>
      </c>
    </row>
    <row r="921" customFormat="false" ht="15" hidden="false" customHeight="true" outlineLevel="0" collapsed="false">
      <c r="A921" s="30"/>
      <c r="C921" s="30"/>
      <c r="F921" s="9" t="str">
        <f aca="false">IF(C921="","",IFERROR(INDEX('Sub-principles'!$E$2:$E$11,MATCH(C921,'Sub-principles'!$A$2:$A$11,0)),""))</f>
        <v/>
      </c>
      <c r="G921" s="33" t="str">
        <f aca="false">IF(OR(D921="",F921=""),"",D921/5*F921)</f>
        <v/>
      </c>
    </row>
    <row r="922" customFormat="false" ht="15" hidden="false" customHeight="true" outlineLevel="0" collapsed="false">
      <c r="A922" s="30"/>
      <c r="C922" s="30"/>
      <c r="F922" s="9" t="str">
        <f aca="false">IF(C922="","",IFERROR(INDEX('Sub-principles'!$E$2:$E$11,MATCH(C922,'Sub-principles'!$A$2:$A$11,0)),""))</f>
        <v/>
      </c>
      <c r="G922" s="33" t="str">
        <f aca="false">IF(OR(D922="",F922=""),"",D922/5*F922)</f>
        <v/>
      </c>
    </row>
    <row r="923" customFormat="false" ht="15" hidden="false" customHeight="true" outlineLevel="0" collapsed="false">
      <c r="A923" s="30"/>
      <c r="C923" s="30"/>
      <c r="F923" s="9" t="str">
        <f aca="false">IF(C923="","",IFERROR(INDEX('Sub-principles'!$E$2:$E$11,MATCH(C923,'Sub-principles'!$A$2:$A$11,0)),""))</f>
        <v/>
      </c>
      <c r="G923" s="33" t="str">
        <f aca="false">IF(OR(D923="",F923=""),"",D923/5*F923)</f>
        <v/>
      </c>
    </row>
    <row r="924" customFormat="false" ht="15" hidden="false" customHeight="true" outlineLevel="0" collapsed="false">
      <c r="A924" s="30"/>
      <c r="C924" s="30"/>
      <c r="F924" s="9" t="str">
        <f aca="false">IF(C924="","",IFERROR(INDEX('Sub-principles'!$E$2:$E$11,MATCH(C924,'Sub-principles'!$A$2:$A$11,0)),""))</f>
        <v/>
      </c>
      <c r="G924" s="33" t="str">
        <f aca="false">IF(OR(D924="",F924=""),"",D924/5*F924)</f>
        <v/>
      </c>
    </row>
    <row r="925" customFormat="false" ht="15" hidden="false" customHeight="true" outlineLevel="0" collapsed="false">
      <c r="A925" s="30"/>
      <c r="C925" s="30"/>
      <c r="F925" s="9" t="str">
        <f aca="false">IF(C925="","",IFERROR(INDEX('Sub-principles'!$E$2:$E$11,MATCH(C925,'Sub-principles'!$A$2:$A$11,0)),""))</f>
        <v/>
      </c>
      <c r="G925" s="33" t="str">
        <f aca="false">IF(OR(D925="",F925=""),"",D925/5*F925)</f>
        <v/>
      </c>
    </row>
    <row r="926" customFormat="false" ht="15" hidden="false" customHeight="true" outlineLevel="0" collapsed="false">
      <c r="A926" s="30"/>
      <c r="C926" s="30"/>
      <c r="F926" s="9" t="str">
        <f aca="false">IF(C926="","",IFERROR(INDEX('Sub-principles'!$E$2:$E$11,MATCH(C926,'Sub-principles'!$A$2:$A$11,0)),""))</f>
        <v/>
      </c>
      <c r="G926" s="33" t="str">
        <f aca="false">IF(OR(D926="",F926=""),"",D926/5*F926)</f>
        <v/>
      </c>
    </row>
    <row r="927" customFormat="false" ht="15" hidden="false" customHeight="true" outlineLevel="0" collapsed="false">
      <c r="A927" s="30"/>
      <c r="C927" s="30"/>
      <c r="F927" s="9" t="str">
        <f aca="false">IF(C927="","",IFERROR(INDEX('Sub-principles'!$E$2:$E$11,MATCH(C927,'Sub-principles'!$A$2:$A$11,0)),""))</f>
        <v/>
      </c>
      <c r="G927" s="33" t="str">
        <f aca="false">IF(OR(D927="",F927=""),"",D927/5*F927)</f>
        <v/>
      </c>
    </row>
    <row r="928" customFormat="false" ht="15" hidden="false" customHeight="true" outlineLevel="0" collapsed="false">
      <c r="A928" s="30"/>
      <c r="C928" s="30"/>
      <c r="F928" s="9" t="str">
        <f aca="false">IF(C928="","",IFERROR(INDEX('Sub-principles'!$E$2:$E$11,MATCH(C928,'Sub-principles'!$A$2:$A$11,0)),""))</f>
        <v/>
      </c>
      <c r="G928" s="33" t="str">
        <f aca="false">IF(OR(D928="",F928=""),"",D928/5*F928)</f>
        <v/>
      </c>
    </row>
    <row r="929" customFormat="false" ht="15" hidden="false" customHeight="true" outlineLevel="0" collapsed="false">
      <c r="A929" s="30"/>
      <c r="C929" s="30"/>
      <c r="F929" s="9" t="str">
        <f aca="false">IF(C929="","",IFERROR(INDEX('Sub-principles'!$E$2:$E$11,MATCH(C929,'Sub-principles'!$A$2:$A$11,0)),""))</f>
        <v/>
      </c>
      <c r="G929" s="33" t="str">
        <f aca="false">IF(OR(D929="",F929=""),"",D929/5*F929)</f>
        <v/>
      </c>
    </row>
    <row r="930" customFormat="false" ht="15" hidden="false" customHeight="true" outlineLevel="0" collapsed="false">
      <c r="A930" s="30"/>
      <c r="C930" s="30"/>
      <c r="F930" s="9" t="str">
        <f aca="false">IF(C930="","",IFERROR(INDEX('Sub-principles'!$E$2:$E$11,MATCH(C930,'Sub-principles'!$A$2:$A$11,0)),""))</f>
        <v/>
      </c>
      <c r="G930" s="33" t="str">
        <f aca="false">IF(OR(D930="",F930=""),"",D930/5*F930)</f>
        <v/>
      </c>
    </row>
    <row r="931" customFormat="false" ht="15" hidden="false" customHeight="true" outlineLevel="0" collapsed="false">
      <c r="A931" s="30"/>
      <c r="C931" s="30"/>
      <c r="F931" s="9" t="str">
        <f aca="false">IF(C931="","",IFERROR(INDEX('Sub-principles'!$E$2:$E$11,MATCH(C931,'Sub-principles'!$A$2:$A$11,0)),""))</f>
        <v/>
      </c>
      <c r="G931" s="33" t="str">
        <f aca="false">IF(OR(D931="",F931=""),"",D931/5*F931)</f>
        <v/>
      </c>
    </row>
    <row r="932" customFormat="false" ht="15" hidden="false" customHeight="true" outlineLevel="0" collapsed="false">
      <c r="A932" s="30"/>
      <c r="C932" s="30"/>
      <c r="F932" s="9" t="str">
        <f aca="false">IF(C932="","",IFERROR(INDEX('Sub-principles'!$E$2:$E$11,MATCH(C932,'Sub-principles'!$A$2:$A$11,0)),""))</f>
        <v/>
      </c>
      <c r="G932" s="33" t="str">
        <f aca="false">IF(OR(D932="",F932=""),"",D932/5*F932)</f>
        <v/>
      </c>
    </row>
    <row r="933" customFormat="false" ht="15" hidden="false" customHeight="true" outlineLevel="0" collapsed="false">
      <c r="A933" s="30"/>
      <c r="C933" s="30"/>
      <c r="F933" s="9" t="str">
        <f aca="false">IF(C933="","",IFERROR(INDEX('Sub-principles'!$E$2:$E$11,MATCH(C933,'Sub-principles'!$A$2:$A$11,0)),""))</f>
        <v/>
      </c>
      <c r="G933" s="33" t="str">
        <f aca="false">IF(OR(D933="",F933=""),"",D933/5*F933)</f>
        <v/>
      </c>
    </row>
    <row r="934" customFormat="false" ht="15" hidden="false" customHeight="true" outlineLevel="0" collapsed="false">
      <c r="A934" s="30"/>
      <c r="C934" s="30"/>
      <c r="F934" s="9" t="str">
        <f aca="false">IF(C934="","",IFERROR(INDEX('Sub-principles'!$E$2:$E$11,MATCH(C934,'Sub-principles'!$A$2:$A$11,0)),""))</f>
        <v/>
      </c>
      <c r="G934" s="33" t="str">
        <f aca="false">IF(OR(D934="",F934=""),"",D934/5*F934)</f>
        <v/>
      </c>
    </row>
    <row r="935" customFormat="false" ht="15" hidden="false" customHeight="true" outlineLevel="0" collapsed="false">
      <c r="A935" s="30"/>
      <c r="C935" s="30"/>
      <c r="F935" s="9" t="str">
        <f aca="false">IF(C935="","",IFERROR(INDEX('Sub-principles'!$E$2:$E$11,MATCH(C935,'Sub-principles'!$A$2:$A$11,0)),""))</f>
        <v/>
      </c>
      <c r="G935" s="33" t="str">
        <f aca="false">IF(OR(D935="",F935=""),"",D935/5*F935)</f>
        <v/>
      </c>
    </row>
    <row r="936" customFormat="false" ht="15" hidden="false" customHeight="true" outlineLevel="0" collapsed="false">
      <c r="A936" s="30"/>
      <c r="C936" s="30"/>
      <c r="F936" s="9" t="str">
        <f aca="false">IF(C936="","",IFERROR(INDEX('Sub-principles'!$E$2:$E$11,MATCH(C936,'Sub-principles'!$A$2:$A$11,0)),""))</f>
        <v/>
      </c>
      <c r="G936" s="33" t="str">
        <f aca="false">IF(OR(D936="",F936=""),"",D936/5*F936)</f>
        <v/>
      </c>
    </row>
    <row r="937" customFormat="false" ht="15" hidden="false" customHeight="true" outlineLevel="0" collapsed="false">
      <c r="A937" s="30"/>
      <c r="C937" s="30"/>
      <c r="F937" s="9" t="str">
        <f aca="false">IF(C937="","",IFERROR(INDEX('Sub-principles'!$E$2:$E$11,MATCH(C937,'Sub-principles'!$A$2:$A$11,0)),""))</f>
        <v/>
      </c>
      <c r="G937" s="33" t="str">
        <f aca="false">IF(OR(D937="",F937=""),"",D937/5*F937)</f>
        <v/>
      </c>
    </row>
    <row r="938" customFormat="false" ht="15" hidden="false" customHeight="true" outlineLevel="0" collapsed="false">
      <c r="A938" s="30"/>
      <c r="C938" s="30"/>
      <c r="F938" s="9" t="str">
        <f aca="false">IF(C938="","",IFERROR(INDEX('Sub-principles'!$E$2:$E$11,MATCH(C938,'Sub-principles'!$A$2:$A$11,0)),""))</f>
        <v/>
      </c>
      <c r="G938" s="33" t="str">
        <f aca="false">IF(OR(D938="",F938=""),"",D938/5*F938)</f>
        <v/>
      </c>
    </row>
    <row r="939" customFormat="false" ht="15" hidden="false" customHeight="true" outlineLevel="0" collapsed="false">
      <c r="A939" s="30"/>
      <c r="C939" s="30"/>
      <c r="F939" s="9" t="str">
        <f aca="false">IF(C939="","",IFERROR(INDEX('Sub-principles'!$E$2:$E$11,MATCH(C939,'Sub-principles'!$A$2:$A$11,0)),""))</f>
        <v/>
      </c>
      <c r="G939" s="33" t="str">
        <f aca="false">IF(OR(D939="",F939=""),"",D939/5*F939)</f>
        <v/>
      </c>
    </row>
    <row r="940" customFormat="false" ht="15" hidden="false" customHeight="true" outlineLevel="0" collapsed="false">
      <c r="A940" s="30"/>
      <c r="C940" s="30"/>
      <c r="F940" s="9" t="str">
        <f aca="false">IF(C940="","",IFERROR(INDEX('Sub-principles'!$E$2:$E$11,MATCH(C940,'Sub-principles'!$A$2:$A$11,0)),""))</f>
        <v/>
      </c>
      <c r="G940" s="33" t="str">
        <f aca="false">IF(OR(D940="",F940=""),"",D940/5*F940)</f>
        <v/>
      </c>
    </row>
    <row r="941" customFormat="false" ht="15" hidden="false" customHeight="true" outlineLevel="0" collapsed="false">
      <c r="A941" s="30"/>
      <c r="C941" s="30"/>
      <c r="F941" s="9" t="str">
        <f aca="false">IF(C941="","",IFERROR(INDEX('Sub-principles'!$E$2:$E$11,MATCH(C941,'Sub-principles'!$A$2:$A$11,0)),""))</f>
        <v/>
      </c>
      <c r="G941" s="33" t="str">
        <f aca="false">IF(OR(D941="",F941=""),"",D941/5*F941)</f>
        <v/>
      </c>
    </row>
    <row r="942" customFormat="false" ht="15" hidden="false" customHeight="true" outlineLevel="0" collapsed="false">
      <c r="A942" s="30"/>
      <c r="C942" s="30"/>
      <c r="F942" s="9" t="str">
        <f aca="false">IF(C942="","",IFERROR(INDEX('Sub-principles'!$E$2:$E$11,MATCH(C942,'Sub-principles'!$A$2:$A$11,0)),""))</f>
        <v/>
      </c>
      <c r="G942" s="33" t="str">
        <f aca="false">IF(OR(D942="",F942=""),"",D942/5*F942)</f>
        <v/>
      </c>
    </row>
    <row r="943" customFormat="false" ht="15" hidden="false" customHeight="true" outlineLevel="0" collapsed="false">
      <c r="A943" s="30"/>
      <c r="C943" s="30"/>
      <c r="F943" s="9" t="str">
        <f aca="false">IF(C943="","",IFERROR(INDEX('Sub-principles'!$E$2:$E$11,MATCH(C943,'Sub-principles'!$A$2:$A$11,0)),""))</f>
        <v/>
      </c>
      <c r="G943" s="33" t="str">
        <f aca="false">IF(OR(D943="",F943=""),"",D943/5*F943)</f>
        <v/>
      </c>
    </row>
    <row r="944" customFormat="false" ht="15" hidden="false" customHeight="true" outlineLevel="0" collapsed="false">
      <c r="A944" s="30"/>
      <c r="C944" s="30"/>
      <c r="F944" s="9" t="str">
        <f aca="false">IF(C944="","",IFERROR(INDEX('Sub-principles'!$E$2:$E$11,MATCH(C944,'Sub-principles'!$A$2:$A$11,0)),""))</f>
        <v/>
      </c>
      <c r="G944" s="33" t="str">
        <f aca="false">IF(OR(D944="",F944=""),"",D944/5*F944)</f>
        <v/>
      </c>
    </row>
    <row r="945" customFormat="false" ht="15" hidden="false" customHeight="true" outlineLevel="0" collapsed="false">
      <c r="A945" s="30"/>
      <c r="C945" s="30"/>
      <c r="F945" s="9" t="str">
        <f aca="false">IF(C945="","",IFERROR(INDEX('Sub-principles'!$E$2:$E$11,MATCH(C945,'Sub-principles'!$A$2:$A$11,0)),""))</f>
        <v/>
      </c>
      <c r="G945" s="33" t="str">
        <f aca="false">IF(OR(D945="",F945=""),"",D945/5*F945)</f>
        <v/>
      </c>
    </row>
    <row r="946" customFormat="false" ht="15" hidden="false" customHeight="true" outlineLevel="0" collapsed="false">
      <c r="A946" s="30"/>
      <c r="C946" s="30"/>
      <c r="F946" s="9" t="str">
        <f aca="false">IF(C946="","",IFERROR(INDEX('Sub-principles'!$E$2:$E$11,MATCH(C946,'Sub-principles'!$A$2:$A$11,0)),""))</f>
        <v/>
      </c>
      <c r="G946" s="33" t="str">
        <f aca="false">IF(OR(D946="",F946=""),"",D946/5*F946)</f>
        <v/>
      </c>
    </row>
    <row r="947" customFormat="false" ht="15" hidden="false" customHeight="true" outlineLevel="0" collapsed="false">
      <c r="A947" s="30"/>
      <c r="C947" s="30"/>
      <c r="F947" s="9" t="str">
        <f aca="false">IF(C947="","",IFERROR(INDEX('Sub-principles'!$E$2:$E$11,MATCH(C947,'Sub-principles'!$A$2:$A$11,0)),""))</f>
        <v/>
      </c>
      <c r="G947" s="33" t="str">
        <f aca="false">IF(OR(D947="",F947=""),"",D947/5*F947)</f>
        <v/>
      </c>
    </row>
    <row r="948" customFormat="false" ht="15" hidden="false" customHeight="true" outlineLevel="0" collapsed="false">
      <c r="A948" s="30"/>
      <c r="C948" s="30"/>
      <c r="F948" s="9" t="str">
        <f aca="false">IF(C948="","",IFERROR(INDEX('Sub-principles'!$E$2:$E$11,MATCH(C948,'Sub-principles'!$A$2:$A$11,0)),""))</f>
        <v/>
      </c>
      <c r="G948" s="33" t="str">
        <f aca="false">IF(OR(D948="",F948=""),"",D948/5*F948)</f>
        <v/>
      </c>
    </row>
    <row r="949" customFormat="false" ht="15" hidden="false" customHeight="true" outlineLevel="0" collapsed="false">
      <c r="A949" s="30"/>
      <c r="C949" s="30"/>
      <c r="F949" s="9" t="str">
        <f aca="false">IF(C949="","",IFERROR(INDEX('Sub-principles'!$E$2:$E$11,MATCH(C949,'Sub-principles'!$A$2:$A$11,0)),""))</f>
        <v/>
      </c>
      <c r="G949" s="33" t="str">
        <f aca="false">IF(OR(D949="",F949=""),"",D949/5*F949)</f>
        <v/>
      </c>
    </row>
    <row r="950" customFormat="false" ht="15" hidden="false" customHeight="true" outlineLevel="0" collapsed="false">
      <c r="A950" s="30"/>
      <c r="C950" s="30"/>
      <c r="F950" s="9" t="str">
        <f aca="false">IF(C950="","",IFERROR(INDEX('Sub-principles'!$E$2:$E$11,MATCH(C950,'Sub-principles'!$A$2:$A$11,0)),""))</f>
        <v/>
      </c>
      <c r="G950" s="33" t="str">
        <f aca="false">IF(OR(D950="",F950=""),"",D950/5*F950)</f>
        <v/>
      </c>
    </row>
    <row r="951" customFormat="false" ht="15" hidden="false" customHeight="true" outlineLevel="0" collapsed="false">
      <c r="A951" s="30"/>
      <c r="C951" s="30"/>
      <c r="F951" s="9" t="str">
        <f aca="false">IF(C951="","",IFERROR(INDEX('Sub-principles'!$E$2:$E$11,MATCH(C951,'Sub-principles'!$A$2:$A$11,0)),""))</f>
        <v/>
      </c>
      <c r="G951" s="33" t="str">
        <f aca="false">IF(OR(D951="",F951=""),"",D951/5*F951)</f>
        <v/>
      </c>
    </row>
    <row r="952" customFormat="false" ht="15" hidden="false" customHeight="true" outlineLevel="0" collapsed="false">
      <c r="A952" s="30"/>
      <c r="C952" s="30"/>
      <c r="F952" s="9" t="str">
        <f aca="false">IF(C952="","",IFERROR(INDEX('Sub-principles'!$E$2:$E$11,MATCH(C952,'Sub-principles'!$A$2:$A$11,0)),""))</f>
        <v/>
      </c>
      <c r="G952" s="33" t="str">
        <f aca="false">IF(OR(D952="",F952=""),"",D952/5*F952)</f>
        <v/>
      </c>
    </row>
    <row r="953" customFormat="false" ht="15" hidden="false" customHeight="true" outlineLevel="0" collapsed="false">
      <c r="A953" s="30"/>
      <c r="C953" s="30"/>
      <c r="F953" s="9" t="str">
        <f aca="false">IF(C953="","",IFERROR(INDEX('Sub-principles'!$E$2:$E$11,MATCH(C953,'Sub-principles'!$A$2:$A$11,0)),""))</f>
        <v/>
      </c>
      <c r="G953" s="33" t="str">
        <f aca="false">IF(OR(D953="",F953=""),"",D953/5*F953)</f>
        <v/>
      </c>
    </row>
    <row r="954" customFormat="false" ht="15" hidden="false" customHeight="true" outlineLevel="0" collapsed="false">
      <c r="A954" s="30"/>
      <c r="C954" s="30"/>
      <c r="F954" s="9" t="str">
        <f aca="false">IF(C954="","",IFERROR(INDEX('Sub-principles'!$E$2:$E$11,MATCH(C954,'Sub-principles'!$A$2:$A$11,0)),""))</f>
        <v/>
      </c>
      <c r="G954" s="33" t="str">
        <f aca="false">IF(OR(D954="",F954=""),"",D954/5*F954)</f>
        <v/>
      </c>
    </row>
    <row r="955" customFormat="false" ht="15" hidden="false" customHeight="true" outlineLevel="0" collapsed="false">
      <c r="A955" s="30"/>
      <c r="C955" s="30"/>
      <c r="F955" s="9" t="str">
        <f aca="false">IF(C955="","",IFERROR(INDEX('Sub-principles'!$E$2:$E$11,MATCH(C955,'Sub-principles'!$A$2:$A$11,0)),""))</f>
        <v/>
      </c>
      <c r="G955" s="33" t="str">
        <f aca="false">IF(OR(D955="",F955=""),"",D955/5*F955)</f>
        <v/>
      </c>
    </row>
    <row r="956" customFormat="false" ht="15" hidden="false" customHeight="true" outlineLevel="0" collapsed="false">
      <c r="A956" s="30"/>
      <c r="C956" s="30"/>
      <c r="F956" s="9" t="str">
        <f aca="false">IF(C956="","",IFERROR(INDEX('Sub-principles'!$E$2:$E$11,MATCH(C956,'Sub-principles'!$A$2:$A$11,0)),""))</f>
        <v/>
      </c>
      <c r="G956" s="33" t="str">
        <f aca="false">IF(OR(D956="",F956=""),"",D956/5*F956)</f>
        <v/>
      </c>
    </row>
    <row r="957" customFormat="false" ht="15" hidden="false" customHeight="true" outlineLevel="0" collapsed="false">
      <c r="A957" s="30"/>
      <c r="C957" s="30"/>
      <c r="F957" s="9" t="str">
        <f aca="false">IF(C957="","",IFERROR(INDEX('Sub-principles'!$E$2:$E$11,MATCH(C957,'Sub-principles'!$A$2:$A$11,0)),""))</f>
        <v/>
      </c>
      <c r="G957" s="33" t="str">
        <f aca="false">IF(OR(D957="",F957=""),"",D957/5*F957)</f>
        <v/>
      </c>
    </row>
    <row r="958" customFormat="false" ht="15" hidden="false" customHeight="true" outlineLevel="0" collapsed="false">
      <c r="A958" s="30"/>
      <c r="C958" s="30"/>
      <c r="F958" s="9" t="str">
        <f aca="false">IF(C958="","",IFERROR(INDEX('Sub-principles'!$E$2:$E$11,MATCH(C958,'Sub-principles'!$A$2:$A$11,0)),""))</f>
        <v/>
      </c>
      <c r="G958" s="33" t="str">
        <f aca="false">IF(OR(D958="",F958=""),"",D958/5*F958)</f>
        <v/>
      </c>
    </row>
    <row r="959" customFormat="false" ht="15" hidden="false" customHeight="true" outlineLevel="0" collapsed="false">
      <c r="A959" s="30"/>
      <c r="C959" s="30"/>
      <c r="F959" s="9" t="str">
        <f aca="false">IF(C959="","",IFERROR(INDEX('Sub-principles'!$E$2:$E$11,MATCH(C959,'Sub-principles'!$A$2:$A$11,0)),""))</f>
        <v/>
      </c>
      <c r="G959" s="33" t="str">
        <f aca="false">IF(OR(D959="",F959=""),"",D959/5*F959)</f>
        <v/>
      </c>
    </row>
    <row r="960" customFormat="false" ht="15" hidden="false" customHeight="true" outlineLevel="0" collapsed="false">
      <c r="A960" s="30"/>
      <c r="C960" s="30"/>
      <c r="F960" s="9" t="str">
        <f aca="false">IF(C960="","",IFERROR(INDEX('Sub-principles'!$E$2:$E$11,MATCH(C960,'Sub-principles'!$A$2:$A$11,0)),""))</f>
        <v/>
      </c>
      <c r="G960" s="33" t="str">
        <f aca="false">IF(OR(D960="",F960=""),"",D960/5*F960)</f>
        <v/>
      </c>
    </row>
    <row r="961" customFormat="false" ht="15" hidden="false" customHeight="true" outlineLevel="0" collapsed="false">
      <c r="A961" s="30"/>
      <c r="C961" s="30"/>
      <c r="F961" s="9" t="str">
        <f aca="false">IF(C961="","",IFERROR(INDEX('Sub-principles'!$E$2:$E$11,MATCH(C961,'Sub-principles'!$A$2:$A$11,0)),""))</f>
        <v/>
      </c>
      <c r="G961" s="33" t="str">
        <f aca="false">IF(OR(D961="",F961=""),"",D961/5*F961)</f>
        <v/>
      </c>
    </row>
    <row r="962" customFormat="false" ht="15" hidden="false" customHeight="true" outlineLevel="0" collapsed="false">
      <c r="A962" s="30"/>
      <c r="C962" s="30"/>
      <c r="F962" s="9" t="str">
        <f aca="false">IF(C962="","",IFERROR(INDEX('Sub-principles'!$E$2:$E$11,MATCH(C962,'Sub-principles'!$A$2:$A$11,0)),""))</f>
        <v/>
      </c>
      <c r="G962" s="33" t="str">
        <f aca="false">IF(OR(D962="",F962=""),"",D962/5*F962)</f>
        <v/>
      </c>
    </row>
    <row r="963" customFormat="false" ht="15" hidden="false" customHeight="true" outlineLevel="0" collapsed="false">
      <c r="A963" s="30"/>
      <c r="C963" s="30"/>
      <c r="F963" s="9" t="str">
        <f aca="false">IF(C963="","",IFERROR(INDEX('Sub-principles'!$E$2:$E$11,MATCH(C963,'Sub-principles'!$A$2:$A$11,0)),""))</f>
        <v/>
      </c>
      <c r="G963" s="33" t="str">
        <f aca="false">IF(OR(D963="",F963=""),"",D963/5*F963)</f>
        <v/>
      </c>
    </row>
    <row r="964" customFormat="false" ht="15" hidden="false" customHeight="true" outlineLevel="0" collapsed="false">
      <c r="A964" s="30"/>
      <c r="C964" s="30"/>
      <c r="F964" s="9" t="str">
        <f aca="false">IF(C964="","",IFERROR(INDEX('Sub-principles'!$E$2:$E$11,MATCH(C964,'Sub-principles'!$A$2:$A$11,0)),""))</f>
        <v/>
      </c>
      <c r="G964" s="33" t="str">
        <f aca="false">IF(OR(D964="",F964=""),"",D964/5*F964)</f>
        <v/>
      </c>
    </row>
    <row r="965" customFormat="false" ht="15" hidden="false" customHeight="true" outlineLevel="0" collapsed="false">
      <c r="A965" s="30"/>
      <c r="C965" s="30"/>
      <c r="F965" s="9" t="str">
        <f aca="false">IF(C965="","",IFERROR(INDEX('Sub-principles'!$E$2:$E$11,MATCH(C965,'Sub-principles'!$A$2:$A$11,0)),""))</f>
        <v/>
      </c>
      <c r="G965" s="33" t="str">
        <f aca="false">IF(OR(D965="",F965=""),"",D965/5*F965)</f>
        <v/>
      </c>
    </row>
    <row r="966" customFormat="false" ht="15" hidden="false" customHeight="true" outlineLevel="0" collapsed="false">
      <c r="A966" s="30"/>
      <c r="C966" s="30"/>
      <c r="F966" s="9" t="str">
        <f aca="false">IF(C966="","",IFERROR(INDEX('Sub-principles'!$E$2:$E$11,MATCH(C966,'Sub-principles'!$A$2:$A$11,0)),""))</f>
        <v/>
      </c>
      <c r="G966" s="33" t="str">
        <f aca="false">IF(OR(D966="",F966=""),"",D966/5*F966)</f>
        <v/>
      </c>
    </row>
    <row r="967" customFormat="false" ht="15" hidden="false" customHeight="true" outlineLevel="0" collapsed="false">
      <c r="A967" s="30"/>
      <c r="C967" s="30"/>
      <c r="F967" s="9" t="str">
        <f aca="false">IF(C967="","",IFERROR(INDEX('Sub-principles'!$E$2:$E$11,MATCH(C967,'Sub-principles'!$A$2:$A$11,0)),""))</f>
        <v/>
      </c>
      <c r="G967" s="33" t="str">
        <f aca="false">IF(OR(D967="",F967=""),"",D967/5*F967)</f>
        <v/>
      </c>
    </row>
    <row r="968" customFormat="false" ht="15" hidden="false" customHeight="true" outlineLevel="0" collapsed="false">
      <c r="A968" s="30"/>
      <c r="C968" s="30"/>
      <c r="F968" s="9" t="str">
        <f aca="false">IF(C968="","",IFERROR(INDEX('Sub-principles'!$E$2:$E$11,MATCH(C968,'Sub-principles'!$A$2:$A$11,0)),""))</f>
        <v/>
      </c>
      <c r="G968" s="33" t="str">
        <f aca="false">IF(OR(D968="",F968=""),"",D968/5*F968)</f>
        <v/>
      </c>
    </row>
    <row r="969" customFormat="false" ht="15" hidden="false" customHeight="true" outlineLevel="0" collapsed="false">
      <c r="A969" s="30"/>
      <c r="C969" s="30"/>
      <c r="F969" s="9" t="str">
        <f aca="false">IF(C969="","",IFERROR(INDEX('Sub-principles'!$E$2:$E$11,MATCH(C969,'Sub-principles'!$A$2:$A$11,0)),""))</f>
        <v/>
      </c>
      <c r="G969" s="33" t="str">
        <f aca="false">IF(OR(D969="",F969=""),"",D969/5*F969)</f>
        <v/>
      </c>
    </row>
    <row r="970" customFormat="false" ht="15" hidden="false" customHeight="true" outlineLevel="0" collapsed="false">
      <c r="A970" s="30"/>
      <c r="C970" s="30"/>
      <c r="F970" s="9" t="str">
        <f aca="false">IF(C970="","",IFERROR(INDEX('Sub-principles'!$E$2:$E$11,MATCH(C970,'Sub-principles'!$A$2:$A$11,0)),""))</f>
        <v/>
      </c>
      <c r="G970" s="33" t="str">
        <f aca="false">IF(OR(D970="",F970=""),"",D970/5*F970)</f>
        <v/>
      </c>
    </row>
    <row r="971" customFormat="false" ht="15" hidden="false" customHeight="true" outlineLevel="0" collapsed="false">
      <c r="A971" s="30"/>
      <c r="C971" s="30"/>
      <c r="F971" s="9" t="str">
        <f aca="false">IF(C971="","",IFERROR(INDEX('Sub-principles'!$E$2:$E$11,MATCH(C971,'Sub-principles'!$A$2:$A$11,0)),""))</f>
        <v/>
      </c>
      <c r="G971" s="33" t="str">
        <f aca="false">IF(OR(D971="",F971=""),"",D971/5*F971)</f>
        <v/>
      </c>
    </row>
    <row r="972" customFormat="false" ht="15" hidden="false" customHeight="true" outlineLevel="0" collapsed="false">
      <c r="A972" s="30"/>
      <c r="C972" s="30"/>
      <c r="F972" s="9" t="str">
        <f aca="false">IF(C972="","",IFERROR(INDEX('Sub-principles'!$E$2:$E$11,MATCH(C972,'Sub-principles'!$A$2:$A$11,0)),""))</f>
        <v/>
      </c>
      <c r="G972" s="33" t="str">
        <f aca="false">IF(OR(D972="",F972=""),"",D972/5*F972)</f>
        <v/>
      </c>
    </row>
    <row r="973" customFormat="false" ht="15" hidden="false" customHeight="true" outlineLevel="0" collapsed="false">
      <c r="A973" s="30"/>
      <c r="C973" s="30"/>
      <c r="F973" s="9" t="str">
        <f aca="false">IF(C973="","",IFERROR(INDEX('Sub-principles'!$E$2:$E$11,MATCH(C973,'Sub-principles'!$A$2:$A$11,0)),""))</f>
        <v/>
      </c>
      <c r="G973" s="33" t="str">
        <f aca="false">IF(OR(D973="",F973=""),"",D973/5*F973)</f>
        <v/>
      </c>
    </row>
    <row r="974" customFormat="false" ht="15" hidden="false" customHeight="true" outlineLevel="0" collapsed="false">
      <c r="A974" s="30"/>
      <c r="C974" s="30"/>
      <c r="F974" s="9" t="str">
        <f aca="false">IF(C974="","",IFERROR(INDEX('Sub-principles'!$E$2:$E$11,MATCH(C974,'Sub-principles'!$A$2:$A$11,0)),""))</f>
        <v/>
      </c>
      <c r="G974" s="33" t="str">
        <f aca="false">IF(OR(D974="",F974=""),"",D974/5*F974)</f>
        <v/>
      </c>
    </row>
    <row r="975" customFormat="false" ht="15" hidden="false" customHeight="true" outlineLevel="0" collapsed="false">
      <c r="A975" s="30"/>
      <c r="C975" s="30"/>
      <c r="F975" s="9" t="str">
        <f aca="false">IF(C975="","",IFERROR(INDEX('Sub-principles'!$E$2:$E$11,MATCH(C975,'Sub-principles'!$A$2:$A$11,0)),""))</f>
        <v/>
      </c>
      <c r="G975" s="33" t="str">
        <f aca="false">IF(OR(D975="",F975=""),"",D975/5*F975)</f>
        <v/>
      </c>
    </row>
    <row r="976" customFormat="false" ht="15" hidden="false" customHeight="true" outlineLevel="0" collapsed="false">
      <c r="A976" s="30"/>
      <c r="C976" s="30"/>
      <c r="F976" s="9" t="str">
        <f aca="false">IF(C976="","",IFERROR(INDEX('Sub-principles'!$E$2:$E$11,MATCH(C976,'Sub-principles'!$A$2:$A$11,0)),""))</f>
        <v/>
      </c>
      <c r="G976" s="33" t="str">
        <f aca="false">IF(OR(D976="",F976=""),"",D976/5*F976)</f>
        <v/>
      </c>
    </row>
    <row r="977" customFormat="false" ht="15" hidden="false" customHeight="true" outlineLevel="0" collapsed="false">
      <c r="A977" s="30"/>
      <c r="C977" s="30"/>
      <c r="F977" s="9" t="str">
        <f aca="false">IF(C977="","",IFERROR(INDEX('Sub-principles'!$E$2:$E$11,MATCH(C977,'Sub-principles'!$A$2:$A$11,0)),""))</f>
        <v/>
      </c>
      <c r="G977" s="33" t="str">
        <f aca="false">IF(OR(D977="",F977=""),"",D977/5*F977)</f>
        <v/>
      </c>
    </row>
    <row r="978" customFormat="false" ht="15" hidden="false" customHeight="true" outlineLevel="0" collapsed="false">
      <c r="A978" s="30"/>
      <c r="C978" s="30"/>
      <c r="F978" s="9" t="str">
        <f aca="false">IF(C978="","",IFERROR(INDEX('Sub-principles'!$E$2:$E$11,MATCH(C978,'Sub-principles'!$A$2:$A$11,0)),""))</f>
        <v/>
      </c>
      <c r="G978" s="33" t="str">
        <f aca="false">IF(OR(D978="",F978=""),"",D978/5*F978)</f>
        <v/>
      </c>
    </row>
    <row r="979" customFormat="false" ht="15" hidden="false" customHeight="true" outlineLevel="0" collapsed="false">
      <c r="A979" s="30"/>
      <c r="C979" s="30"/>
      <c r="F979" s="9" t="str">
        <f aca="false">IF(C979="","",IFERROR(INDEX('Sub-principles'!$E$2:$E$11,MATCH(C979,'Sub-principles'!$A$2:$A$11,0)),""))</f>
        <v/>
      </c>
      <c r="G979" s="33" t="str">
        <f aca="false">IF(OR(D979="",F979=""),"",D979/5*F979)</f>
        <v/>
      </c>
    </row>
    <row r="980" customFormat="false" ht="15" hidden="false" customHeight="true" outlineLevel="0" collapsed="false">
      <c r="A980" s="30"/>
      <c r="C980" s="30"/>
      <c r="F980" s="9" t="str">
        <f aca="false">IF(C980="","",IFERROR(INDEX('Sub-principles'!$E$2:$E$11,MATCH(C980,'Sub-principles'!$A$2:$A$11,0)),""))</f>
        <v/>
      </c>
      <c r="G980" s="33" t="str">
        <f aca="false">IF(OR(D980="",F980=""),"",D980/5*F980)</f>
        <v/>
      </c>
    </row>
    <row r="981" customFormat="false" ht="15" hidden="false" customHeight="true" outlineLevel="0" collapsed="false">
      <c r="A981" s="30"/>
      <c r="C981" s="30"/>
      <c r="F981" s="9" t="str">
        <f aca="false">IF(C981="","",IFERROR(INDEX('Sub-principles'!$E$2:$E$11,MATCH(C981,'Sub-principles'!$A$2:$A$11,0)),""))</f>
        <v/>
      </c>
      <c r="G981" s="33" t="str">
        <f aca="false">IF(OR(D981="",F981=""),"",D981/5*F981)</f>
        <v/>
      </c>
    </row>
    <row r="982" customFormat="false" ht="15" hidden="false" customHeight="true" outlineLevel="0" collapsed="false">
      <c r="A982" s="30"/>
      <c r="C982" s="30"/>
      <c r="F982" s="9" t="str">
        <f aca="false">IF(C982="","",IFERROR(INDEX('Sub-principles'!$E$2:$E$11,MATCH(C982,'Sub-principles'!$A$2:$A$11,0)),""))</f>
        <v/>
      </c>
      <c r="G982" s="33" t="str">
        <f aca="false">IF(OR(D982="",F982=""),"",D982/5*F982)</f>
        <v/>
      </c>
    </row>
    <row r="983" customFormat="false" ht="15" hidden="false" customHeight="true" outlineLevel="0" collapsed="false">
      <c r="A983" s="30"/>
      <c r="C983" s="30"/>
      <c r="F983" s="9" t="str">
        <f aca="false">IF(C983="","",IFERROR(INDEX('Sub-principles'!$E$2:$E$11,MATCH(C983,'Sub-principles'!$A$2:$A$11,0)),""))</f>
        <v/>
      </c>
      <c r="G983" s="33" t="str">
        <f aca="false">IF(OR(D983="",F983=""),"",D983/5*F983)</f>
        <v/>
      </c>
    </row>
    <row r="984" customFormat="false" ht="15" hidden="false" customHeight="true" outlineLevel="0" collapsed="false">
      <c r="A984" s="30"/>
      <c r="C984" s="30"/>
      <c r="F984" s="9" t="str">
        <f aca="false">IF(C984="","",IFERROR(INDEX('Sub-principles'!$E$2:$E$11,MATCH(C984,'Sub-principles'!$A$2:$A$11,0)),""))</f>
        <v/>
      </c>
      <c r="G984" s="33" t="str">
        <f aca="false">IF(OR(D984="",F984=""),"",D984/5*F984)</f>
        <v/>
      </c>
    </row>
    <row r="985" customFormat="false" ht="15" hidden="false" customHeight="true" outlineLevel="0" collapsed="false">
      <c r="A985" s="30"/>
      <c r="C985" s="30"/>
      <c r="F985" s="9" t="str">
        <f aca="false">IF(C985="","",IFERROR(INDEX('Sub-principles'!$E$2:$E$11,MATCH(C985,'Sub-principles'!$A$2:$A$11,0)),""))</f>
        <v/>
      </c>
      <c r="G985" s="33" t="str">
        <f aca="false">IF(OR(D985="",F985=""),"",D985/5*F985)</f>
        <v/>
      </c>
    </row>
    <row r="986" customFormat="false" ht="15" hidden="false" customHeight="true" outlineLevel="0" collapsed="false">
      <c r="A986" s="30"/>
      <c r="C986" s="30"/>
      <c r="F986" s="9" t="str">
        <f aca="false">IF(C986="","",IFERROR(INDEX('Sub-principles'!$E$2:$E$11,MATCH(C986,'Sub-principles'!$A$2:$A$11,0)),""))</f>
        <v/>
      </c>
      <c r="G986" s="33" t="str">
        <f aca="false">IF(OR(D986="",F986=""),"",D986/5*F986)</f>
        <v/>
      </c>
    </row>
    <row r="987" customFormat="false" ht="15" hidden="false" customHeight="true" outlineLevel="0" collapsed="false">
      <c r="A987" s="30"/>
      <c r="C987" s="30"/>
      <c r="F987" s="9" t="str">
        <f aca="false">IF(C987="","",IFERROR(INDEX('Sub-principles'!$E$2:$E$11,MATCH(C987,'Sub-principles'!$A$2:$A$11,0)),""))</f>
        <v/>
      </c>
      <c r="G987" s="33" t="str">
        <f aca="false">IF(OR(D987="",F987=""),"",D987/5*F987)</f>
        <v/>
      </c>
    </row>
    <row r="988" customFormat="false" ht="15" hidden="false" customHeight="true" outlineLevel="0" collapsed="false">
      <c r="A988" s="30"/>
      <c r="C988" s="30"/>
      <c r="F988" s="9" t="str">
        <f aca="false">IF(C988="","",IFERROR(INDEX('Sub-principles'!$E$2:$E$11,MATCH(C988,'Sub-principles'!$A$2:$A$11,0)),""))</f>
        <v/>
      </c>
      <c r="G988" s="33" t="str">
        <f aca="false">IF(OR(D988="",F988=""),"",D988/5*F988)</f>
        <v/>
      </c>
    </row>
    <row r="989" customFormat="false" ht="15" hidden="false" customHeight="true" outlineLevel="0" collapsed="false">
      <c r="A989" s="30"/>
      <c r="C989" s="30"/>
      <c r="F989" s="9" t="str">
        <f aca="false">IF(C989="","",IFERROR(INDEX('Sub-principles'!$E$2:$E$11,MATCH(C989,'Sub-principles'!$A$2:$A$11,0)),""))</f>
        <v/>
      </c>
      <c r="G989" s="33" t="str">
        <f aca="false">IF(OR(D989="",F989=""),"",D989/5*F989)</f>
        <v/>
      </c>
    </row>
    <row r="990" customFormat="false" ht="15" hidden="false" customHeight="true" outlineLevel="0" collapsed="false">
      <c r="A990" s="30"/>
      <c r="C990" s="30"/>
      <c r="F990" s="9" t="str">
        <f aca="false">IF(C990="","",IFERROR(INDEX('Sub-principles'!$E$2:$E$11,MATCH(C990,'Sub-principles'!$A$2:$A$11,0)),""))</f>
        <v/>
      </c>
      <c r="G990" s="33" t="str">
        <f aca="false">IF(OR(D990="",F990=""),"",D990/5*F990)</f>
        <v/>
      </c>
    </row>
    <row r="991" customFormat="false" ht="15" hidden="false" customHeight="true" outlineLevel="0" collapsed="false">
      <c r="A991" s="30"/>
      <c r="C991" s="30"/>
      <c r="F991" s="9" t="str">
        <f aca="false">IF(C991="","",IFERROR(INDEX('Sub-principles'!$E$2:$E$11,MATCH(C991,'Sub-principles'!$A$2:$A$11,0)),""))</f>
        <v/>
      </c>
      <c r="G991" s="33" t="str">
        <f aca="false">IF(OR(D991="",F991=""),"",D991/5*F991)</f>
        <v/>
      </c>
    </row>
    <row r="992" customFormat="false" ht="15" hidden="false" customHeight="true" outlineLevel="0" collapsed="false">
      <c r="A992" s="30"/>
      <c r="C992" s="30"/>
      <c r="F992" s="9" t="str">
        <f aca="false">IF(C992="","",IFERROR(INDEX('Sub-principles'!$E$2:$E$11,MATCH(C992,'Sub-principles'!$A$2:$A$11,0)),""))</f>
        <v/>
      </c>
      <c r="G992" s="33" t="str">
        <f aca="false">IF(OR(D992="",F992=""),"",D992/5*F992)</f>
        <v/>
      </c>
    </row>
    <row r="993" customFormat="false" ht="15" hidden="false" customHeight="true" outlineLevel="0" collapsed="false">
      <c r="A993" s="30"/>
      <c r="C993" s="30"/>
      <c r="F993" s="9" t="str">
        <f aca="false">IF(C993="","",IFERROR(INDEX('Sub-principles'!$E$2:$E$11,MATCH(C993,'Sub-principles'!$A$2:$A$11,0)),""))</f>
        <v/>
      </c>
      <c r="G993" s="33" t="str">
        <f aca="false">IF(OR(D993="",F993=""),"",D993/5*F993)</f>
        <v/>
      </c>
    </row>
    <row r="994" customFormat="false" ht="15" hidden="false" customHeight="true" outlineLevel="0" collapsed="false">
      <c r="A994" s="30"/>
      <c r="C994" s="30"/>
      <c r="F994" s="9" t="str">
        <f aca="false">IF(C994="","",IFERROR(INDEX('Sub-principles'!$E$2:$E$11,MATCH(C994,'Sub-principles'!$A$2:$A$11,0)),""))</f>
        <v/>
      </c>
      <c r="G994" s="33" t="str">
        <f aca="false">IF(OR(D994="",F994=""),"",D994/5*F994)</f>
        <v/>
      </c>
    </row>
    <row r="995" customFormat="false" ht="15" hidden="false" customHeight="true" outlineLevel="0" collapsed="false">
      <c r="A995" s="30"/>
      <c r="C995" s="30"/>
      <c r="F995" s="9" t="str">
        <f aca="false">IF(C995="","",IFERROR(INDEX('Sub-principles'!$E$2:$E$11,MATCH(C995,'Sub-principles'!$A$2:$A$11,0)),""))</f>
        <v/>
      </c>
      <c r="G995" s="33" t="str">
        <f aca="false">IF(OR(D995="",F995=""),"",D995/5*F995)</f>
        <v/>
      </c>
    </row>
    <row r="996" customFormat="false" ht="15" hidden="false" customHeight="true" outlineLevel="0" collapsed="false">
      <c r="A996" s="30"/>
      <c r="C996" s="30"/>
      <c r="F996" s="9" t="str">
        <f aca="false">IF(C996="","",IFERROR(INDEX('Sub-principles'!$E$2:$E$11,MATCH(C996,'Sub-principles'!$A$2:$A$11,0)),""))</f>
        <v/>
      </c>
      <c r="G996" s="33" t="str">
        <f aca="false">IF(OR(D996="",F996=""),"",D996/5*F996)</f>
        <v/>
      </c>
    </row>
    <row r="997" customFormat="false" ht="15" hidden="false" customHeight="true" outlineLevel="0" collapsed="false">
      <c r="A997" s="30"/>
      <c r="C997" s="30"/>
      <c r="F997" s="9" t="str">
        <f aca="false">IF(C997="","",IFERROR(INDEX('Sub-principles'!$E$2:$E$11,MATCH(C997,'Sub-principles'!$A$2:$A$11,0)),""))</f>
        <v/>
      </c>
      <c r="G997" s="33" t="str">
        <f aca="false">IF(OR(D997="",F997=""),"",D997/5*F997)</f>
        <v/>
      </c>
    </row>
    <row r="998" customFormat="false" ht="15" hidden="false" customHeight="true" outlineLevel="0" collapsed="false">
      <c r="A998" s="30"/>
      <c r="C998" s="30"/>
      <c r="F998" s="9" t="str">
        <f aca="false">IF(C998="","",IFERROR(INDEX('Sub-principles'!$E$2:$E$11,MATCH(C998,'Sub-principles'!$A$2:$A$11,0)),""))</f>
        <v/>
      </c>
      <c r="G998" s="33" t="str">
        <f aca="false">IF(OR(D998="",F998=""),"",D998/5*F998)</f>
        <v/>
      </c>
    </row>
    <row r="999" customFormat="false" ht="15" hidden="false" customHeight="true" outlineLevel="0" collapsed="false">
      <c r="A999" s="30"/>
      <c r="C999" s="30"/>
      <c r="F999" s="9" t="str">
        <f aca="false">IF(C999="","",IFERROR(INDEX('Sub-principles'!$E$2:$E$11,MATCH(C999,'Sub-principles'!$A$2:$A$11,0)),""))</f>
        <v/>
      </c>
      <c r="G999" s="33" t="str">
        <f aca="false">IF(OR(D999="",F999=""),"",D999/5*F999)</f>
        <v/>
      </c>
    </row>
    <row r="1000" customFormat="false" ht="15" hidden="false" customHeight="true" outlineLevel="0" collapsed="false">
      <c r="A1000" s="30"/>
      <c r="C1000" s="30"/>
      <c r="F1000" s="9" t="str">
        <f aca="false">IF(C1000="","",IFERROR(INDEX('Sub-principles'!$E$2:$E$11,MATCH(C1000,'Sub-principles'!$A$2:$A$11,0)),""))</f>
        <v/>
      </c>
      <c r="G1000" s="33" t="str">
        <f aca="false">IF(OR(D1000="",F1000=""),"",D1000/5*F1000)</f>
        <v/>
      </c>
    </row>
  </sheetData>
  <autoFilter ref="A1:G1000"/>
  <dataValidations count="3">
    <dataValidation allowBlank="true" error="Scores run from 1 to 5, in steps of 0.5." errorStyle="stop" errorTitle="Score" operator="between" showDropDown="false" showErrorMessage="true" showInputMessage="false" sqref="D2:D1000" type="decimal">
      <formula1>1</formula1>
      <formula2>5</formula2>
    </dataValidation>
    <dataValidation allowBlank="true" errorStyle="stop" operator="between" showDropDown="false" showErrorMessage="true" showInputMessage="false" sqref="C2:C1000" type="list">
      <formula1>'Sub-principles'!$A$2:$A$11</formula1>
      <formula2>0</formula2>
    </dataValidation>
    <dataValidation allowBlank="true" errorStyle="stop" operator="between" showDropDown="false" showErrorMessage="true" showInputMessage="false" sqref="A2:A1000" type="list">
      <formula1>Projects!$A$2:$A$200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0"/>
    <col collapsed="false" customWidth="true" hidden="false" outlineLevel="0" max="19" min="3" style="1" width="5.2"/>
  </cols>
  <sheetData>
    <row r="1" customFormat="false" ht="15" hidden="false" customHeight="true" outlineLevel="0" collapsed="false">
      <c r="A1" s="34" t="s">
        <v>528</v>
      </c>
    </row>
    <row r="2" customFormat="false" ht="15" hidden="false" customHeight="true" outlineLevel="0" collapsed="false">
      <c r="A2" s="35" t="s">
        <v>46</v>
      </c>
      <c r="B2" s="35" t="s">
        <v>25</v>
      </c>
      <c r="C2" s="36" t="n">
        <v>1</v>
      </c>
      <c r="D2" s="37" t="n">
        <v>2</v>
      </c>
      <c r="E2" s="38" t="n">
        <v>3</v>
      </c>
      <c r="F2" s="39" t="n">
        <v>4</v>
      </c>
      <c r="G2" s="40" t="n">
        <v>5</v>
      </c>
      <c r="H2" s="41" t="n">
        <v>6</v>
      </c>
      <c r="I2" s="42" t="n">
        <v>7</v>
      </c>
      <c r="J2" s="43" t="n">
        <v>8</v>
      </c>
      <c r="K2" s="44" t="n">
        <v>9</v>
      </c>
      <c r="L2" s="45" t="n">
        <v>10</v>
      </c>
      <c r="M2" s="46" t="n">
        <v>11</v>
      </c>
      <c r="N2" s="47" t="n">
        <v>12</v>
      </c>
      <c r="O2" s="48" t="n">
        <v>13</v>
      </c>
      <c r="P2" s="49" t="n">
        <v>14</v>
      </c>
      <c r="Q2" s="50" t="n">
        <v>15</v>
      </c>
      <c r="R2" s="51" t="n">
        <v>16</v>
      </c>
      <c r="S2" s="52" t="n">
        <v>17</v>
      </c>
    </row>
    <row r="3" customFormat="false" ht="15" hidden="false" customHeight="true" outlineLevel="0" collapsed="false">
      <c r="A3" s="8" t="s">
        <v>53</v>
      </c>
      <c r="B3" s="5" t="s">
        <v>55</v>
      </c>
      <c r="C3" s="53" t="str">
        <f aca="false">IF(COUNTIFS(tl_sub,$A3,tl_sdg,C$2,tl_align,"Primary")&gt;0,"P",IF(COUNTIFS(tl_sub,$A3,tl_sdg,C$2)&gt;0,"S",""))</f>
        <v/>
      </c>
      <c r="D3" s="53" t="str">
        <f aca="false">IF(COUNTIFS(tl_sub,$A3,tl_sdg,D$2,tl_align,"Primary")&gt;0,"P",IF(COUNTIFS(tl_sub,$A3,tl_sdg,D$2)&gt;0,"S",""))</f>
        <v/>
      </c>
      <c r="E3" s="53" t="str">
        <f aca="false">IF(COUNTIFS(tl_sub,$A3,tl_sdg,E$2,tl_align,"Primary")&gt;0,"P",IF(COUNTIFS(tl_sub,$A3,tl_sdg,E$2)&gt;0,"S",""))</f>
        <v/>
      </c>
      <c r="F3" s="53" t="str">
        <f aca="false">IF(COUNTIFS(tl_sub,$A3,tl_sdg,F$2,tl_align,"Primary")&gt;0,"P",IF(COUNTIFS(tl_sub,$A3,tl_sdg,F$2)&gt;0,"S",""))</f>
        <v/>
      </c>
      <c r="G3" s="53" t="str">
        <f aca="false">IF(COUNTIFS(tl_sub,$A3,tl_sdg,G$2,tl_align,"Primary")&gt;0,"P",IF(COUNTIFS(tl_sub,$A3,tl_sdg,G$2)&gt;0,"S",""))</f>
        <v/>
      </c>
      <c r="H3" s="53" t="str">
        <f aca="false">IF(COUNTIFS(tl_sub,$A3,tl_sdg,H$2,tl_align,"Primary")&gt;0,"P",IF(COUNTIFS(tl_sub,$A3,tl_sdg,H$2)&gt;0,"S",""))</f>
        <v/>
      </c>
      <c r="I3" s="53" t="str">
        <f aca="false">IF(COUNTIFS(tl_sub,$A3,tl_sdg,I$2,tl_align,"Primary")&gt;0,"P",IF(COUNTIFS(tl_sub,$A3,tl_sdg,I$2)&gt;0,"S",""))</f>
        <v/>
      </c>
      <c r="J3" s="53" t="str">
        <f aca="false">IF(COUNTIFS(tl_sub,$A3,tl_sdg,J$2,tl_align,"Primary")&gt;0,"P",IF(COUNTIFS(tl_sub,$A3,tl_sdg,J$2)&gt;0,"S",""))</f>
        <v>S</v>
      </c>
      <c r="K3" s="53" t="str">
        <f aca="false">IF(COUNTIFS(tl_sub,$A3,tl_sdg,K$2,tl_align,"Primary")&gt;0,"P",IF(COUNTIFS(tl_sub,$A3,tl_sdg,K$2)&gt;0,"S",""))</f>
        <v>P</v>
      </c>
      <c r="L3" s="53" t="str">
        <f aca="false">IF(COUNTIFS(tl_sub,$A3,tl_sdg,L$2,tl_align,"Primary")&gt;0,"P",IF(COUNTIFS(tl_sub,$A3,tl_sdg,L$2)&gt;0,"S",""))</f>
        <v/>
      </c>
      <c r="M3" s="53" t="str">
        <f aca="false">IF(COUNTIFS(tl_sub,$A3,tl_sdg,M$2,tl_align,"Primary")&gt;0,"P",IF(COUNTIFS(tl_sub,$A3,tl_sdg,M$2)&gt;0,"S",""))</f>
        <v>S</v>
      </c>
      <c r="N3" s="53" t="str">
        <f aca="false">IF(COUNTIFS(tl_sub,$A3,tl_sdg,N$2,tl_align,"Primary")&gt;0,"P",IF(COUNTIFS(tl_sub,$A3,tl_sdg,N$2)&gt;0,"S",""))</f>
        <v>S</v>
      </c>
      <c r="O3" s="53" t="str">
        <f aca="false">IF(COUNTIFS(tl_sub,$A3,tl_sdg,O$2,tl_align,"Primary")&gt;0,"P",IF(COUNTIFS(tl_sub,$A3,tl_sdg,O$2)&gt;0,"S",""))</f>
        <v/>
      </c>
      <c r="P3" s="53" t="str">
        <f aca="false">IF(COUNTIFS(tl_sub,$A3,tl_sdg,P$2,tl_align,"Primary")&gt;0,"P",IF(COUNTIFS(tl_sub,$A3,tl_sdg,P$2)&gt;0,"S",""))</f>
        <v/>
      </c>
      <c r="Q3" s="53" t="str">
        <f aca="false">IF(COUNTIFS(tl_sub,$A3,tl_sdg,Q$2,tl_align,"Primary")&gt;0,"P",IF(COUNTIFS(tl_sub,$A3,tl_sdg,Q$2)&gt;0,"S",""))</f>
        <v/>
      </c>
      <c r="R3" s="53" t="str">
        <f aca="false">IF(COUNTIFS(tl_sub,$A3,tl_sdg,R$2,tl_align,"Primary")&gt;0,"P",IF(COUNTIFS(tl_sub,$A3,tl_sdg,R$2)&gt;0,"S",""))</f>
        <v/>
      </c>
      <c r="S3" s="53" t="str">
        <f aca="false">IF(COUNTIFS(tl_sub,$A3,tl_sdg,S$2,tl_align,"Primary")&gt;0,"P",IF(COUNTIFS(tl_sub,$A3,tl_sdg,S$2)&gt;0,"S",""))</f>
        <v/>
      </c>
    </row>
    <row r="4" customFormat="false" ht="15" hidden="false" customHeight="true" outlineLevel="0" collapsed="false">
      <c r="A4" s="8" t="s">
        <v>62</v>
      </c>
      <c r="B4" s="5" t="s">
        <v>64</v>
      </c>
      <c r="C4" s="53" t="str">
        <f aca="false">IF(COUNTIFS(tl_sub,$A4,tl_sdg,C$2,tl_align,"Primary")&gt;0,"P",IF(COUNTIFS(tl_sub,$A4,tl_sdg,C$2)&gt;0,"S",""))</f>
        <v/>
      </c>
      <c r="D4" s="53" t="str">
        <f aca="false">IF(COUNTIFS(tl_sub,$A4,tl_sdg,D$2,tl_align,"Primary")&gt;0,"P",IF(COUNTIFS(tl_sub,$A4,tl_sdg,D$2)&gt;0,"S",""))</f>
        <v/>
      </c>
      <c r="E4" s="53" t="str">
        <f aca="false">IF(COUNTIFS(tl_sub,$A4,tl_sdg,E$2,tl_align,"Primary")&gt;0,"P",IF(COUNTIFS(tl_sub,$A4,tl_sdg,E$2)&gt;0,"S",""))</f>
        <v/>
      </c>
      <c r="F4" s="53" t="str">
        <f aca="false">IF(COUNTIFS(tl_sub,$A4,tl_sdg,F$2,tl_align,"Primary")&gt;0,"P",IF(COUNTIFS(tl_sub,$A4,tl_sdg,F$2)&gt;0,"S",""))</f>
        <v/>
      </c>
      <c r="G4" s="53" t="str">
        <f aca="false">IF(COUNTIFS(tl_sub,$A4,tl_sdg,G$2,tl_align,"Primary")&gt;0,"P",IF(COUNTIFS(tl_sub,$A4,tl_sdg,G$2)&gt;0,"S",""))</f>
        <v/>
      </c>
      <c r="H4" s="53" t="str">
        <f aca="false">IF(COUNTIFS(tl_sub,$A4,tl_sdg,H$2,tl_align,"Primary")&gt;0,"P",IF(COUNTIFS(tl_sub,$A4,tl_sdg,H$2)&gt;0,"S",""))</f>
        <v/>
      </c>
      <c r="I4" s="53" t="str">
        <f aca="false">IF(COUNTIFS(tl_sub,$A4,tl_sdg,I$2,tl_align,"Primary")&gt;0,"P",IF(COUNTIFS(tl_sub,$A4,tl_sdg,I$2)&gt;0,"S",""))</f>
        <v/>
      </c>
      <c r="J4" s="53" t="str">
        <f aca="false">IF(COUNTIFS(tl_sub,$A4,tl_sdg,J$2,tl_align,"Primary")&gt;0,"P",IF(COUNTIFS(tl_sub,$A4,tl_sdg,J$2)&gt;0,"S",""))</f>
        <v>S</v>
      </c>
      <c r="K4" s="53" t="str">
        <f aca="false">IF(COUNTIFS(tl_sub,$A4,tl_sdg,K$2,tl_align,"Primary")&gt;0,"P",IF(COUNTIFS(tl_sub,$A4,tl_sdg,K$2)&gt;0,"S",""))</f>
        <v>P</v>
      </c>
      <c r="L4" s="53" t="str">
        <f aca="false">IF(COUNTIFS(tl_sub,$A4,tl_sdg,L$2,tl_align,"Primary")&gt;0,"P",IF(COUNTIFS(tl_sub,$A4,tl_sdg,L$2)&gt;0,"S",""))</f>
        <v/>
      </c>
      <c r="M4" s="53" t="str">
        <f aca="false">IF(COUNTIFS(tl_sub,$A4,tl_sdg,M$2,tl_align,"Primary")&gt;0,"P",IF(COUNTIFS(tl_sub,$A4,tl_sdg,M$2)&gt;0,"S",""))</f>
        <v/>
      </c>
      <c r="N4" s="53" t="str">
        <f aca="false">IF(COUNTIFS(tl_sub,$A4,tl_sdg,N$2,tl_align,"Primary")&gt;0,"P",IF(COUNTIFS(tl_sub,$A4,tl_sdg,N$2)&gt;0,"S",""))</f>
        <v/>
      </c>
      <c r="O4" s="53" t="str">
        <f aca="false">IF(COUNTIFS(tl_sub,$A4,tl_sdg,O$2,tl_align,"Primary")&gt;0,"P",IF(COUNTIFS(tl_sub,$A4,tl_sdg,O$2)&gt;0,"S",""))</f>
        <v/>
      </c>
      <c r="P4" s="53" t="str">
        <f aca="false">IF(COUNTIFS(tl_sub,$A4,tl_sdg,P$2,tl_align,"Primary")&gt;0,"P",IF(COUNTIFS(tl_sub,$A4,tl_sdg,P$2)&gt;0,"S",""))</f>
        <v/>
      </c>
      <c r="Q4" s="53" t="str">
        <f aca="false">IF(COUNTIFS(tl_sub,$A4,tl_sdg,Q$2,tl_align,"Primary")&gt;0,"P",IF(COUNTIFS(tl_sub,$A4,tl_sdg,Q$2)&gt;0,"S",""))</f>
        <v/>
      </c>
      <c r="R4" s="53" t="str">
        <f aca="false">IF(COUNTIFS(tl_sub,$A4,tl_sdg,R$2,tl_align,"Primary")&gt;0,"P",IF(COUNTIFS(tl_sub,$A4,tl_sdg,R$2)&gt;0,"S",""))</f>
        <v>S</v>
      </c>
      <c r="S4" s="53" t="str">
        <f aca="false">IF(COUNTIFS(tl_sub,$A4,tl_sdg,S$2,tl_align,"Primary")&gt;0,"P",IF(COUNTIFS(tl_sub,$A4,tl_sdg,S$2)&gt;0,"S",""))</f>
        <v>S</v>
      </c>
    </row>
    <row r="5" customFormat="false" ht="15" hidden="false" customHeight="true" outlineLevel="0" collapsed="false">
      <c r="A5" s="8" t="s">
        <v>71</v>
      </c>
      <c r="B5" s="5" t="s">
        <v>73</v>
      </c>
      <c r="C5" s="53" t="str">
        <f aca="false">IF(COUNTIFS(tl_sub,$A5,tl_sdg,C$2,tl_align,"Primary")&gt;0,"P",IF(COUNTIFS(tl_sub,$A5,tl_sdg,C$2)&gt;0,"S",""))</f>
        <v/>
      </c>
      <c r="D5" s="53" t="str">
        <f aca="false">IF(COUNTIFS(tl_sub,$A5,tl_sdg,D$2,tl_align,"Primary")&gt;0,"P",IF(COUNTIFS(tl_sub,$A5,tl_sdg,D$2)&gt;0,"S",""))</f>
        <v/>
      </c>
      <c r="E5" s="53" t="str">
        <f aca="false">IF(COUNTIFS(tl_sub,$A5,tl_sdg,E$2,tl_align,"Primary")&gt;0,"P",IF(COUNTIFS(tl_sub,$A5,tl_sdg,E$2)&gt;0,"S",""))</f>
        <v/>
      </c>
      <c r="F5" s="53" t="str">
        <f aca="false">IF(COUNTIFS(tl_sub,$A5,tl_sdg,F$2,tl_align,"Primary")&gt;0,"P",IF(COUNTIFS(tl_sub,$A5,tl_sdg,F$2)&gt;0,"S",""))</f>
        <v/>
      </c>
      <c r="G5" s="53" t="str">
        <f aca="false">IF(COUNTIFS(tl_sub,$A5,tl_sdg,G$2,tl_align,"Primary")&gt;0,"P",IF(COUNTIFS(tl_sub,$A5,tl_sdg,G$2)&gt;0,"S",""))</f>
        <v/>
      </c>
      <c r="H5" s="53" t="str">
        <f aca="false">IF(COUNTIFS(tl_sub,$A5,tl_sdg,H$2,tl_align,"Primary")&gt;0,"P",IF(COUNTIFS(tl_sub,$A5,tl_sdg,H$2)&gt;0,"S",""))</f>
        <v>S</v>
      </c>
      <c r="I5" s="53" t="str">
        <f aca="false">IF(COUNTIFS(tl_sub,$A5,tl_sdg,I$2,tl_align,"Primary")&gt;0,"P",IF(COUNTIFS(tl_sub,$A5,tl_sdg,I$2)&gt;0,"S",""))</f>
        <v>S</v>
      </c>
      <c r="J5" s="53" t="str">
        <f aca="false">IF(COUNTIFS(tl_sub,$A5,tl_sdg,J$2,tl_align,"Primary")&gt;0,"P",IF(COUNTIFS(tl_sub,$A5,tl_sdg,J$2)&gt;0,"S",""))</f>
        <v/>
      </c>
      <c r="K5" s="53" t="str">
        <f aca="false">IF(COUNTIFS(tl_sub,$A5,tl_sdg,K$2,tl_align,"Primary")&gt;0,"P",IF(COUNTIFS(tl_sub,$A5,tl_sdg,K$2)&gt;0,"S",""))</f>
        <v>P</v>
      </c>
      <c r="L5" s="53" t="str">
        <f aca="false">IF(COUNTIFS(tl_sub,$A5,tl_sdg,L$2,tl_align,"Primary")&gt;0,"P",IF(COUNTIFS(tl_sub,$A5,tl_sdg,L$2)&gt;0,"S",""))</f>
        <v/>
      </c>
      <c r="M5" s="53" t="str">
        <f aca="false">IF(COUNTIFS(tl_sub,$A5,tl_sdg,M$2,tl_align,"Primary")&gt;0,"P",IF(COUNTIFS(tl_sub,$A5,tl_sdg,M$2)&gt;0,"S",""))</f>
        <v>S</v>
      </c>
      <c r="N5" s="53" t="str">
        <f aca="false">IF(COUNTIFS(tl_sub,$A5,tl_sdg,N$2,tl_align,"Primary")&gt;0,"P",IF(COUNTIFS(tl_sub,$A5,tl_sdg,N$2)&gt;0,"S",""))</f>
        <v>S</v>
      </c>
      <c r="O5" s="53" t="str">
        <f aca="false">IF(COUNTIFS(tl_sub,$A5,tl_sdg,O$2,tl_align,"Primary")&gt;0,"P",IF(COUNTIFS(tl_sub,$A5,tl_sdg,O$2)&gt;0,"S",""))</f>
        <v>P</v>
      </c>
      <c r="P5" s="53" t="str">
        <f aca="false">IF(COUNTIFS(tl_sub,$A5,tl_sdg,P$2,tl_align,"Primary")&gt;0,"P",IF(COUNTIFS(tl_sub,$A5,tl_sdg,P$2)&gt;0,"S",""))</f>
        <v/>
      </c>
      <c r="Q5" s="53" t="str">
        <f aca="false">IF(COUNTIFS(tl_sub,$A5,tl_sdg,Q$2,tl_align,"Primary")&gt;0,"P",IF(COUNTIFS(tl_sub,$A5,tl_sdg,Q$2)&gt;0,"S",""))</f>
        <v/>
      </c>
      <c r="R5" s="53" t="str">
        <f aca="false">IF(COUNTIFS(tl_sub,$A5,tl_sdg,R$2,tl_align,"Primary")&gt;0,"P",IF(COUNTIFS(tl_sub,$A5,tl_sdg,R$2)&gt;0,"S",""))</f>
        <v/>
      </c>
      <c r="S5" s="53" t="str">
        <f aca="false">IF(COUNTIFS(tl_sub,$A5,tl_sdg,S$2,tl_align,"Primary")&gt;0,"P",IF(COUNTIFS(tl_sub,$A5,tl_sdg,S$2)&gt;0,"S",""))</f>
        <v/>
      </c>
    </row>
    <row r="6" customFormat="false" ht="15" hidden="false" customHeight="true" outlineLevel="0" collapsed="false">
      <c r="A6" s="8" t="s">
        <v>80</v>
      </c>
      <c r="B6" s="5" t="s">
        <v>82</v>
      </c>
      <c r="C6" s="53" t="str">
        <f aca="false">IF(COUNTIFS(tl_sub,$A6,tl_sdg,C$2,tl_align,"Primary")&gt;0,"P",IF(COUNTIFS(tl_sub,$A6,tl_sdg,C$2)&gt;0,"S",""))</f>
        <v/>
      </c>
      <c r="D6" s="53" t="str">
        <f aca="false">IF(COUNTIFS(tl_sub,$A6,tl_sdg,D$2,tl_align,"Primary")&gt;0,"P",IF(COUNTIFS(tl_sub,$A6,tl_sdg,D$2)&gt;0,"S",""))</f>
        <v/>
      </c>
      <c r="E6" s="53" t="str">
        <f aca="false">IF(COUNTIFS(tl_sub,$A6,tl_sdg,E$2,tl_align,"Primary")&gt;0,"P",IF(COUNTIFS(tl_sub,$A6,tl_sdg,E$2)&gt;0,"S",""))</f>
        <v/>
      </c>
      <c r="F6" s="53" t="str">
        <f aca="false">IF(COUNTIFS(tl_sub,$A6,tl_sdg,F$2,tl_align,"Primary")&gt;0,"P",IF(COUNTIFS(tl_sub,$A6,tl_sdg,F$2)&gt;0,"S",""))</f>
        <v/>
      </c>
      <c r="G6" s="53" t="str">
        <f aca="false">IF(COUNTIFS(tl_sub,$A6,tl_sdg,G$2,tl_align,"Primary")&gt;0,"P",IF(COUNTIFS(tl_sub,$A6,tl_sdg,G$2)&gt;0,"S",""))</f>
        <v/>
      </c>
      <c r="H6" s="53" t="str">
        <f aca="false">IF(COUNTIFS(tl_sub,$A6,tl_sdg,H$2,tl_align,"Primary")&gt;0,"P",IF(COUNTIFS(tl_sub,$A6,tl_sdg,H$2)&gt;0,"S",""))</f>
        <v/>
      </c>
      <c r="I6" s="53" t="str">
        <f aca="false">IF(COUNTIFS(tl_sub,$A6,tl_sdg,I$2,tl_align,"Primary")&gt;0,"P",IF(COUNTIFS(tl_sub,$A6,tl_sdg,I$2)&gt;0,"S",""))</f>
        <v/>
      </c>
      <c r="J6" s="53" t="str">
        <f aca="false">IF(COUNTIFS(tl_sub,$A6,tl_sdg,J$2,tl_align,"Primary")&gt;0,"P",IF(COUNTIFS(tl_sub,$A6,tl_sdg,J$2)&gt;0,"S",""))</f>
        <v/>
      </c>
      <c r="K6" s="53" t="str">
        <f aca="false">IF(COUNTIFS(tl_sub,$A6,tl_sdg,K$2,tl_align,"Primary")&gt;0,"P",IF(COUNTIFS(tl_sub,$A6,tl_sdg,K$2)&gt;0,"S",""))</f>
        <v>S</v>
      </c>
      <c r="L6" s="53" t="str">
        <f aca="false">IF(COUNTIFS(tl_sub,$A6,tl_sdg,L$2,tl_align,"Primary")&gt;0,"P",IF(COUNTIFS(tl_sub,$A6,tl_sdg,L$2)&gt;0,"S",""))</f>
        <v/>
      </c>
      <c r="M6" s="53" t="str">
        <f aca="false">IF(COUNTIFS(tl_sub,$A6,tl_sdg,M$2,tl_align,"Primary")&gt;0,"P",IF(COUNTIFS(tl_sub,$A6,tl_sdg,M$2)&gt;0,"S",""))</f>
        <v>P</v>
      </c>
      <c r="N6" s="53" t="str">
        <f aca="false">IF(COUNTIFS(tl_sub,$A6,tl_sdg,N$2,tl_align,"Primary")&gt;0,"P",IF(COUNTIFS(tl_sub,$A6,tl_sdg,N$2)&gt;0,"S",""))</f>
        <v/>
      </c>
      <c r="O6" s="53" t="str">
        <f aca="false">IF(COUNTIFS(tl_sub,$A6,tl_sdg,O$2,tl_align,"Primary")&gt;0,"P",IF(COUNTIFS(tl_sub,$A6,tl_sdg,O$2)&gt;0,"S",""))</f>
        <v>S</v>
      </c>
      <c r="P6" s="53" t="str">
        <f aca="false">IF(COUNTIFS(tl_sub,$A6,tl_sdg,P$2,tl_align,"Primary")&gt;0,"P",IF(COUNTIFS(tl_sub,$A6,tl_sdg,P$2)&gt;0,"S",""))</f>
        <v/>
      </c>
      <c r="Q6" s="53" t="str">
        <f aca="false">IF(COUNTIFS(tl_sub,$A6,tl_sdg,Q$2,tl_align,"Primary")&gt;0,"P",IF(COUNTIFS(tl_sub,$A6,tl_sdg,Q$2)&gt;0,"S",""))</f>
        <v/>
      </c>
      <c r="R6" s="53" t="str">
        <f aca="false">IF(COUNTIFS(tl_sub,$A6,tl_sdg,R$2,tl_align,"Primary")&gt;0,"P",IF(COUNTIFS(tl_sub,$A6,tl_sdg,R$2)&gt;0,"S",""))</f>
        <v/>
      </c>
      <c r="S6" s="53" t="str">
        <f aca="false">IF(COUNTIFS(tl_sub,$A6,tl_sdg,S$2,tl_align,"Primary")&gt;0,"P",IF(COUNTIFS(tl_sub,$A6,tl_sdg,S$2)&gt;0,"S",""))</f>
        <v>S</v>
      </c>
    </row>
    <row r="7" customFormat="false" ht="15" hidden="false" customHeight="true" outlineLevel="0" collapsed="false">
      <c r="A7" s="8" t="s">
        <v>89</v>
      </c>
      <c r="B7" s="5" t="s">
        <v>91</v>
      </c>
      <c r="C7" s="53" t="str">
        <f aca="false">IF(COUNTIFS(tl_sub,$A7,tl_sdg,C$2,tl_align,"Primary")&gt;0,"P",IF(COUNTIFS(tl_sub,$A7,tl_sdg,C$2)&gt;0,"S",""))</f>
        <v/>
      </c>
      <c r="D7" s="53" t="str">
        <f aca="false">IF(COUNTIFS(tl_sub,$A7,tl_sdg,D$2,tl_align,"Primary")&gt;0,"P",IF(COUNTIFS(tl_sub,$A7,tl_sdg,D$2)&gt;0,"S",""))</f>
        <v/>
      </c>
      <c r="E7" s="53" t="str">
        <f aca="false">IF(COUNTIFS(tl_sub,$A7,tl_sdg,E$2,tl_align,"Primary")&gt;0,"P",IF(COUNTIFS(tl_sub,$A7,tl_sdg,E$2)&gt;0,"S",""))</f>
        <v/>
      </c>
      <c r="F7" s="53" t="str">
        <f aca="false">IF(COUNTIFS(tl_sub,$A7,tl_sdg,F$2,tl_align,"Primary")&gt;0,"P",IF(COUNTIFS(tl_sub,$A7,tl_sdg,F$2)&gt;0,"S",""))</f>
        <v/>
      </c>
      <c r="G7" s="53" t="str">
        <f aca="false">IF(COUNTIFS(tl_sub,$A7,tl_sdg,G$2,tl_align,"Primary")&gt;0,"P",IF(COUNTIFS(tl_sub,$A7,tl_sdg,G$2)&gt;0,"S",""))</f>
        <v/>
      </c>
      <c r="H7" s="53" t="str">
        <f aca="false">IF(COUNTIFS(tl_sub,$A7,tl_sdg,H$2,tl_align,"Primary")&gt;0,"P",IF(COUNTIFS(tl_sub,$A7,tl_sdg,H$2)&gt;0,"S",""))</f>
        <v/>
      </c>
      <c r="I7" s="53" t="str">
        <f aca="false">IF(COUNTIFS(tl_sub,$A7,tl_sdg,I$2,tl_align,"Primary")&gt;0,"P",IF(COUNTIFS(tl_sub,$A7,tl_sdg,I$2)&gt;0,"S",""))</f>
        <v/>
      </c>
      <c r="J7" s="53" t="str">
        <f aca="false">IF(COUNTIFS(tl_sub,$A7,tl_sdg,J$2,tl_align,"Primary")&gt;0,"P",IF(COUNTIFS(tl_sub,$A7,tl_sdg,J$2)&gt;0,"S",""))</f>
        <v>S</v>
      </c>
      <c r="K7" s="53" t="str">
        <f aca="false">IF(COUNTIFS(tl_sub,$A7,tl_sdg,K$2,tl_align,"Primary")&gt;0,"P",IF(COUNTIFS(tl_sub,$A7,tl_sdg,K$2)&gt;0,"S",""))</f>
        <v>S</v>
      </c>
      <c r="L7" s="53" t="str">
        <f aca="false">IF(COUNTIFS(tl_sub,$A7,tl_sdg,L$2,tl_align,"Primary")&gt;0,"P",IF(COUNTIFS(tl_sub,$A7,tl_sdg,L$2)&gt;0,"S",""))</f>
        <v/>
      </c>
      <c r="M7" s="53" t="str">
        <f aca="false">IF(COUNTIFS(tl_sub,$A7,tl_sdg,M$2,tl_align,"Primary")&gt;0,"P",IF(COUNTIFS(tl_sub,$A7,tl_sdg,M$2)&gt;0,"S",""))</f>
        <v>S</v>
      </c>
      <c r="N7" s="53" t="str">
        <f aca="false">IF(COUNTIFS(tl_sub,$A7,tl_sdg,N$2,tl_align,"Primary")&gt;0,"P",IF(COUNTIFS(tl_sub,$A7,tl_sdg,N$2)&gt;0,"S",""))</f>
        <v>P</v>
      </c>
      <c r="O7" s="53" t="str">
        <f aca="false">IF(COUNTIFS(tl_sub,$A7,tl_sdg,O$2,tl_align,"Primary")&gt;0,"P",IF(COUNTIFS(tl_sub,$A7,tl_sdg,O$2)&gt;0,"S",""))</f>
        <v>S</v>
      </c>
      <c r="P7" s="53" t="str">
        <f aca="false">IF(COUNTIFS(tl_sub,$A7,tl_sdg,P$2,tl_align,"Primary")&gt;0,"P",IF(COUNTIFS(tl_sub,$A7,tl_sdg,P$2)&gt;0,"S",""))</f>
        <v/>
      </c>
      <c r="Q7" s="53" t="str">
        <f aca="false">IF(COUNTIFS(tl_sub,$A7,tl_sdg,Q$2,tl_align,"Primary")&gt;0,"P",IF(COUNTIFS(tl_sub,$A7,tl_sdg,Q$2)&gt;0,"S",""))</f>
        <v/>
      </c>
      <c r="R7" s="53" t="str">
        <f aca="false">IF(COUNTIFS(tl_sub,$A7,tl_sdg,R$2,tl_align,"Primary")&gt;0,"P",IF(COUNTIFS(tl_sub,$A7,tl_sdg,R$2)&gt;0,"S",""))</f>
        <v/>
      </c>
      <c r="S7" s="53" t="str">
        <f aca="false">IF(COUNTIFS(tl_sub,$A7,tl_sdg,S$2,tl_align,"Primary")&gt;0,"P",IF(COUNTIFS(tl_sub,$A7,tl_sdg,S$2)&gt;0,"S",""))</f>
        <v/>
      </c>
    </row>
    <row r="8" customFormat="false" ht="15" hidden="false" customHeight="true" outlineLevel="0" collapsed="false">
      <c r="A8" s="8" t="s">
        <v>98</v>
      </c>
      <c r="B8" s="5" t="s">
        <v>100</v>
      </c>
      <c r="C8" s="53" t="str">
        <f aca="false">IF(COUNTIFS(tl_sub,$A8,tl_sdg,C$2,tl_align,"Primary")&gt;0,"P",IF(COUNTIFS(tl_sub,$A8,tl_sdg,C$2)&gt;0,"S",""))</f>
        <v/>
      </c>
      <c r="D8" s="53" t="str">
        <f aca="false">IF(COUNTIFS(tl_sub,$A8,tl_sdg,D$2,tl_align,"Primary")&gt;0,"P",IF(COUNTIFS(tl_sub,$A8,tl_sdg,D$2)&gt;0,"S",""))</f>
        <v/>
      </c>
      <c r="E8" s="53" t="str">
        <f aca="false">IF(COUNTIFS(tl_sub,$A8,tl_sdg,E$2,tl_align,"Primary")&gt;0,"P",IF(COUNTIFS(tl_sub,$A8,tl_sdg,E$2)&gt;0,"S",""))</f>
        <v/>
      </c>
      <c r="F8" s="53" t="str">
        <f aca="false">IF(COUNTIFS(tl_sub,$A8,tl_sdg,F$2,tl_align,"Primary")&gt;0,"P",IF(COUNTIFS(tl_sub,$A8,tl_sdg,F$2)&gt;0,"S",""))</f>
        <v>S</v>
      </c>
      <c r="G8" s="53" t="str">
        <f aca="false">IF(COUNTIFS(tl_sub,$A8,tl_sdg,G$2,tl_align,"Primary")&gt;0,"P",IF(COUNTIFS(tl_sub,$A8,tl_sdg,G$2)&gt;0,"S",""))</f>
        <v/>
      </c>
      <c r="H8" s="53" t="str">
        <f aca="false">IF(COUNTIFS(tl_sub,$A8,tl_sdg,H$2,tl_align,"Primary")&gt;0,"P",IF(COUNTIFS(tl_sub,$A8,tl_sdg,H$2)&gt;0,"S",""))</f>
        <v/>
      </c>
      <c r="I8" s="53" t="str">
        <f aca="false">IF(COUNTIFS(tl_sub,$A8,tl_sdg,I$2,tl_align,"Primary")&gt;0,"P",IF(COUNTIFS(tl_sub,$A8,tl_sdg,I$2)&gt;0,"S",""))</f>
        <v/>
      </c>
      <c r="J8" s="53" t="str">
        <f aca="false">IF(COUNTIFS(tl_sub,$A8,tl_sdg,J$2,tl_align,"Primary")&gt;0,"P",IF(COUNTIFS(tl_sub,$A8,tl_sdg,J$2)&gt;0,"S",""))</f>
        <v/>
      </c>
      <c r="K8" s="53" t="str">
        <f aca="false">IF(COUNTIFS(tl_sub,$A8,tl_sdg,K$2,tl_align,"Primary")&gt;0,"P",IF(COUNTIFS(tl_sub,$A8,tl_sdg,K$2)&gt;0,"S",""))</f>
        <v>S</v>
      </c>
      <c r="L8" s="53" t="str">
        <f aca="false">IF(COUNTIFS(tl_sub,$A8,tl_sdg,L$2,tl_align,"Primary")&gt;0,"P",IF(COUNTIFS(tl_sub,$A8,tl_sdg,L$2)&gt;0,"S",""))</f>
        <v>S</v>
      </c>
      <c r="M8" s="53" t="str">
        <f aca="false">IF(COUNTIFS(tl_sub,$A8,tl_sdg,M$2,tl_align,"Primary")&gt;0,"P",IF(COUNTIFS(tl_sub,$A8,tl_sdg,M$2)&gt;0,"S",""))</f>
        <v>P</v>
      </c>
      <c r="N8" s="53" t="str">
        <f aca="false">IF(COUNTIFS(tl_sub,$A8,tl_sdg,N$2,tl_align,"Primary")&gt;0,"P",IF(COUNTIFS(tl_sub,$A8,tl_sdg,N$2)&gt;0,"S",""))</f>
        <v/>
      </c>
      <c r="O8" s="53" t="str">
        <f aca="false">IF(COUNTIFS(tl_sub,$A8,tl_sdg,O$2,tl_align,"Primary")&gt;0,"P",IF(COUNTIFS(tl_sub,$A8,tl_sdg,O$2)&gt;0,"S",""))</f>
        <v/>
      </c>
      <c r="P8" s="53" t="str">
        <f aca="false">IF(COUNTIFS(tl_sub,$A8,tl_sdg,P$2,tl_align,"Primary")&gt;0,"P",IF(COUNTIFS(tl_sub,$A8,tl_sdg,P$2)&gt;0,"S",""))</f>
        <v/>
      </c>
      <c r="Q8" s="53" t="str">
        <f aca="false">IF(COUNTIFS(tl_sub,$A8,tl_sdg,Q$2,tl_align,"Primary")&gt;0,"P",IF(COUNTIFS(tl_sub,$A8,tl_sdg,Q$2)&gt;0,"S",""))</f>
        <v/>
      </c>
      <c r="R8" s="53" t="str">
        <f aca="false">IF(COUNTIFS(tl_sub,$A8,tl_sdg,R$2,tl_align,"Primary")&gt;0,"P",IF(COUNTIFS(tl_sub,$A8,tl_sdg,R$2)&gt;0,"S",""))</f>
        <v/>
      </c>
      <c r="S8" s="53" t="str">
        <f aca="false">IF(COUNTIFS(tl_sub,$A8,tl_sdg,S$2,tl_align,"Primary")&gt;0,"P",IF(COUNTIFS(tl_sub,$A8,tl_sdg,S$2)&gt;0,"S",""))</f>
        <v/>
      </c>
    </row>
    <row r="9" customFormat="false" ht="15" hidden="false" customHeight="true" outlineLevel="0" collapsed="false">
      <c r="A9" s="8" t="s">
        <v>107</v>
      </c>
      <c r="B9" s="5" t="s">
        <v>109</v>
      </c>
      <c r="C9" s="53" t="str">
        <f aca="false">IF(COUNTIFS(tl_sub,$A9,tl_sdg,C$2,tl_align,"Primary")&gt;0,"P",IF(COUNTIFS(tl_sub,$A9,tl_sdg,C$2)&gt;0,"S",""))</f>
        <v>S</v>
      </c>
      <c r="D9" s="53" t="str">
        <f aca="false">IF(COUNTIFS(tl_sub,$A9,tl_sdg,D$2,tl_align,"Primary")&gt;0,"P",IF(COUNTIFS(tl_sub,$A9,tl_sdg,D$2)&gt;0,"S",""))</f>
        <v/>
      </c>
      <c r="E9" s="53" t="str">
        <f aca="false">IF(COUNTIFS(tl_sub,$A9,tl_sdg,E$2,tl_align,"Primary")&gt;0,"P",IF(COUNTIFS(tl_sub,$A9,tl_sdg,E$2)&gt;0,"S",""))</f>
        <v/>
      </c>
      <c r="F9" s="53" t="str">
        <f aca="false">IF(COUNTIFS(tl_sub,$A9,tl_sdg,F$2,tl_align,"Primary")&gt;0,"P",IF(COUNTIFS(tl_sub,$A9,tl_sdg,F$2)&gt;0,"S",""))</f>
        <v/>
      </c>
      <c r="G9" s="53" t="str">
        <f aca="false">IF(COUNTIFS(tl_sub,$A9,tl_sdg,G$2,tl_align,"Primary")&gt;0,"P",IF(COUNTIFS(tl_sub,$A9,tl_sdg,G$2)&gt;0,"S",""))</f>
        <v/>
      </c>
      <c r="H9" s="53" t="str">
        <f aca="false">IF(COUNTIFS(tl_sub,$A9,tl_sdg,H$2,tl_align,"Primary")&gt;0,"P",IF(COUNTIFS(tl_sub,$A9,tl_sdg,H$2)&gt;0,"S",""))</f>
        <v/>
      </c>
      <c r="I9" s="53" t="str">
        <f aca="false">IF(COUNTIFS(tl_sub,$A9,tl_sdg,I$2,tl_align,"Primary")&gt;0,"P",IF(COUNTIFS(tl_sub,$A9,tl_sdg,I$2)&gt;0,"S",""))</f>
        <v/>
      </c>
      <c r="J9" s="53" t="str">
        <f aca="false">IF(COUNTIFS(tl_sub,$A9,tl_sdg,J$2,tl_align,"Primary")&gt;0,"P",IF(COUNTIFS(tl_sub,$A9,tl_sdg,J$2)&gt;0,"S",""))</f>
        <v/>
      </c>
      <c r="K9" s="53" t="str">
        <f aca="false">IF(COUNTIFS(tl_sub,$A9,tl_sdg,K$2,tl_align,"Primary")&gt;0,"P",IF(COUNTIFS(tl_sub,$A9,tl_sdg,K$2)&gt;0,"S",""))</f>
        <v>S</v>
      </c>
      <c r="L9" s="53" t="str">
        <f aca="false">IF(COUNTIFS(tl_sub,$A9,tl_sdg,L$2,tl_align,"Primary")&gt;0,"P",IF(COUNTIFS(tl_sub,$A9,tl_sdg,L$2)&gt;0,"S",""))</f>
        <v>P</v>
      </c>
      <c r="M9" s="53" t="str">
        <f aca="false">IF(COUNTIFS(tl_sub,$A9,tl_sdg,M$2,tl_align,"Primary")&gt;0,"P",IF(COUNTIFS(tl_sub,$A9,tl_sdg,M$2)&gt;0,"S",""))</f>
        <v>P</v>
      </c>
      <c r="N9" s="53" t="str">
        <f aca="false">IF(COUNTIFS(tl_sub,$A9,tl_sdg,N$2,tl_align,"Primary")&gt;0,"P",IF(COUNTIFS(tl_sub,$A9,tl_sdg,N$2)&gt;0,"S",""))</f>
        <v/>
      </c>
      <c r="O9" s="53" t="str">
        <f aca="false">IF(COUNTIFS(tl_sub,$A9,tl_sdg,O$2,tl_align,"Primary")&gt;0,"P",IF(COUNTIFS(tl_sub,$A9,tl_sdg,O$2)&gt;0,"S",""))</f>
        <v/>
      </c>
      <c r="P9" s="53" t="str">
        <f aca="false">IF(COUNTIFS(tl_sub,$A9,tl_sdg,P$2,tl_align,"Primary")&gt;0,"P",IF(COUNTIFS(tl_sub,$A9,tl_sdg,P$2)&gt;0,"S",""))</f>
        <v/>
      </c>
      <c r="Q9" s="53" t="str">
        <f aca="false">IF(COUNTIFS(tl_sub,$A9,tl_sdg,Q$2,tl_align,"Primary")&gt;0,"P",IF(COUNTIFS(tl_sub,$A9,tl_sdg,Q$2)&gt;0,"S",""))</f>
        <v/>
      </c>
      <c r="R9" s="53" t="str">
        <f aca="false">IF(COUNTIFS(tl_sub,$A9,tl_sdg,R$2,tl_align,"Primary")&gt;0,"P",IF(COUNTIFS(tl_sub,$A9,tl_sdg,R$2)&gt;0,"S",""))</f>
        <v>S</v>
      </c>
      <c r="S9" s="53" t="str">
        <f aca="false">IF(COUNTIFS(tl_sub,$A9,tl_sdg,S$2,tl_align,"Primary")&gt;0,"P",IF(COUNTIFS(tl_sub,$A9,tl_sdg,S$2)&gt;0,"S",""))</f>
        <v/>
      </c>
    </row>
    <row r="10" customFormat="false" ht="15" hidden="false" customHeight="true" outlineLevel="0" collapsed="false">
      <c r="A10" s="8" t="s">
        <v>116</v>
      </c>
      <c r="B10" s="5" t="s">
        <v>118</v>
      </c>
      <c r="C10" s="53" t="str">
        <f aca="false">IF(COUNTIFS(tl_sub,$A10,tl_sdg,C$2,tl_align,"Primary")&gt;0,"P",IF(COUNTIFS(tl_sub,$A10,tl_sdg,C$2)&gt;0,"S",""))</f>
        <v/>
      </c>
      <c r="D10" s="53" t="str">
        <f aca="false">IF(COUNTIFS(tl_sub,$A10,tl_sdg,D$2,tl_align,"Primary")&gt;0,"P",IF(COUNTIFS(tl_sub,$A10,tl_sdg,D$2)&gt;0,"S",""))</f>
        <v/>
      </c>
      <c r="E10" s="53" t="str">
        <f aca="false">IF(COUNTIFS(tl_sub,$A10,tl_sdg,E$2,tl_align,"Primary")&gt;0,"P",IF(COUNTIFS(tl_sub,$A10,tl_sdg,E$2)&gt;0,"S",""))</f>
        <v/>
      </c>
      <c r="F10" s="53" t="str">
        <f aca="false">IF(COUNTIFS(tl_sub,$A10,tl_sdg,F$2,tl_align,"Primary")&gt;0,"P",IF(COUNTIFS(tl_sub,$A10,tl_sdg,F$2)&gt;0,"S",""))</f>
        <v/>
      </c>
      <c r="G10" s="53" t="str">
        <f aca="false">IF(COUNTIFS(tl_sub,$A10,tl_sdg,G$2,tl_align,"Primary")&gt;0,"P",IF(COUNTIFS(tl_sub,$A10,tl_sdg,G$2)&gt;0,"S",""))</f>
        <v/>
      </c>
      <c r="H10" s="53" t="str">
        <f aca="false">IF(COUNTIFS(tl_sub,$A10,tl_sdg,H$2,tl_align,"Primary")&gt;0,"P",IF(COUNTIFS(tl_sub,$A10,tl_sdg,H$2)&gt;0,"S",""))</f>
        <v/>
      </c>
      <c r="I10" s="53" t="str">
        <f aca="false">IF(COUNTIFS(tl_sub,$A10,tl_sdg,I$2,tl_align,"Primary")&gt;0,"P",IF(COUNTIFS(tl_sub,$A10,tl_sdg,I$2)&gt;0,"S",""))</f>
        <v/>
      </c>
      <c r="J10" s="53" t="str">
        <f aca="false">IF(COUNTIFS(tl_sub,$A10,tl_sdg,J$2,tl_align,"Primary")&gt;0,"P",IF(COUNTIFS(tl_sub,$A10,tl_sdg,J$2)&gt;0,"S",""))</f>
        <v>S</v>
      </c>
      <c r="K10" s="53" t="str">
        <f aca="false">IF(COUNTIFS(tl_sub,$A10,tl_sdg,K$2,tl_align,"Primary")&gt;0,"P",IF(COUNTIFS(tl_sub,$A10,tl_sdg,K$2)&gt;0,"S",""))</f>
        <v/>
      </c>
      <c r="L10" s="53" t="str">
        <f aca="false">IF(COUNTIFS(tl_sub,$A10,tl_sdg,L$2,tl_align,"Primary")&gt;0,"P",IF(COUNTIFS(tl_sub,$A10,tl_sdg,L$2)&gt;0,"S",""))</f>
        <v>S</v>
      </c>
      <c r="M10" s="53" t="str">
        <f aca="false">IF(COUNTIFS(tl_sub,$A10,tl_sdg,M$2,tl_align,"Primary")&gt;0,"P",IF(COUNTIFS(tl_sub,$A10,tl_sdg,M$2)&gt;0,"S",""))</f>
        <v/>
      </c>
      <c r="N10" s="53" t="str">
        <f aca="false">IF(COUNTIFS(tl_sub,$A10,tl_sdg,N$2,tl_align,"Primary")&gt;0,"P",IF(COUNTIFS(tl_sub,$A10,tl_sdg,N$2)&gt;0,"S",""))</f>
        <v>S</v>
      </c>
      <c r="O10" s="53" t="str">
        <f aca="false">IF(COUNTIFS(tl_sub,$A10,tl_sdg,O$2,tl_align,"Primary")&gt;0,"P",IF(COUNTIFS(tl_sub,$A10,tl_sdg,O$2)&gt;0,"S",""))</f>
        <v/>
      </c>
      <c r="P10" s="53" t="str">
        <f aca="false">IF(COUNTIFS(tl_sub,$A10,tl_sdg,P$2,tl_align,"Primary")&gt;0,"P",IF(COUNTIFS(tl_sub,$A10,tl_sdg,P$2)&gt;0,"S",""))</f>
        <v/>
      </c>
      <c r="Q10" s="53" t="str">
        <f aca="false">IF(COUNTIFS(tl_sub,$A10,tl_sdg,Q$2,tl_align,"Primary")&gt;0,"P",IF(COUNTIFS(tl_sub,$A10,tl_sdg,Q$2)&gt;0,"S",""))</f>
        <v/>
      </c>
      <c r="R10" s="53" t="str">
        <f aca="false">IF(COUNTIFS(tl_sub,$A10,tl_sdg,R$2,tl_align,"Primary")&gt;0,"P",IF(COUNTIFS(tl_sub,$A10,tl_sdg,R$2)&gt;0,"S",""))</f>
        <v>S</v>
      </c>
      <c r="S10" s="53" t="str">
        <f aca="false">IF(COUNTIFS(tl_sub,$A10,tl_sdg,S$2,tl_align,"Primary")&gt;0,"P",IF(COUNTIFS(tl_sub,$A10,tl_sdg,S$2)&gt;0,"S",""))</f>
        <v>P</v>
      </c>
    </row>
    <row r="11" customFormat="false" ht="15" hidden="false" customHeight="true" outlineLevel="0" collapsed="false">
      <c r="A11" s="8" t="s">
        <v>125</v>
      </c>
      <c r="B11" s="5" t="s">
        <v>127</v>
      </c>
      <c r="C11" s="53" t="str">
        <f aca="false">IF(COUNTIFS(tl_sub,$A11,tl_sdg,C$2,tl_align,"Primary")&gt;0,"P",IF(COUNTIFS(tl_sub,$A11,tl_sdg,C$2)&gt;0,"S",""))</f>
        <v/>
      </c>
      <c r="D11" s="53" t="str">
        <f aca="false">IF(COUNTIFS(tl_sub,$A11,tl_sdg,D$2,tl_align,"Primary")&gt;0,"P",IF(COUNTIFS(tl_sub,$A11,tl_sdg,D$2)&gt;0,"S",""))</f>
        <v/>
      </c>
      <c r="E11" s="53" t="str">
        <f aca="false">IF(COUNTIFS(tl_sub,$A11,tl_sdg,E$2,tl_align,"Primary")&gt;0,"P",IF(COUNTIFS(tl_sub,$A11,tl_sdg,E$2)&gt;0,"S",""))</f>
        <v/>
      </c>
      <c r="F11" s="53" t="str">
        <f aca="false">IF(COUNTIFS(tl_sub,$A11,tl_sdg,F$2,tl_align,"Primary")&gt;0,"P",IF(COUNTIFS(tl_sub,$A11,tl_sdg,F$2)&gt;0,"S",""))</f>
        <v/>
      </c>
      <c r="G11" s="53" t="str">
        <f aca="false">IF(COUNTIFS(tl_sub,$A11,tl_sdg,G$2,tl_align,"Primary")&gt;0,"P",IF(COUNTIFS(tl_sub,$A11,tl_sdg,G$2)&gt;0,"S",""))</f>
        <v/>
      </c>
      <c r="H11" s="53" t="str">
        <f aca="false">IF(COUNTIFS(tl_sub,$A11,tl_sdg,H$2,tl_align,"Primary")&gt;0,"P",IF(COUNTIFS(tl_sub,$A11,tl_sdg,H$2)&gt;0,"S",""))</f>
        <v/>
      </c>
      <c r="I11" s="53" t="str">
        <f aca="false">IF(COUNTIFS(tl_sub,$A11,tl_sdg,I$2,tl_align,"Primary")&gt;0,"P",IF(COUNTIFS(tl_sub,$A11,tl_sdg,I$2)&gt;0,"S",""))</f>
        <v/>
      </c>
      <c r="J11" s="53" t="str">
        <f aca="false">IF(COUNTIFS(tl_sub,$A11,tl_sdg,J$2,tl_align,"Primary")&gt;0,"P",IF(COUNTIFS(tl_sub,$A11,tl_sdg,J$2)&gt;0,"S",""))</f>
        <v/>
      </c>
      <c r="K11" s="53" t="str">
        <f aca="false">IF(COUNTIFS(tl_sub,$A11,tl_sdg,K$2,tl_align,"Primary")&gt;0,"P",IF(COUNTIFS(tl_sub,$A11,tl_sdg,K$2)&gt;0,"S",""))</f>
        <v/>
      </c>
      <c r="L11" s="53" t="str">
        <f aca="false">IF(COUNTIFS(tl_sub,$A11,tl_sdg,L$2,tl_align,"Primary")&gt;0,"P",IF(COUNTIFS(tl_sub,$A11,tl_sdg,L$2)&gt;0,"S",""))</f>
        <v/>
      </c>
      <c r="M11" s="53" t="str">
        <f aca="false">IF(COUNTIFS(tl_sub,$A11,tl_sdg,M$2,tl_align,"Primary")&gt;0,"P",IF(COUNTIFS(tl_sub,$A11,tl_sdg,M$2)&gt;0,"S",""))</f>
        <v/>
      </c>
      <c r="N11" s="53" t="str">
        <f aca="false">IF(COUNTIFS(tl_sub,$A11,tl_sdg,N$2,tl_align,"Primary")&gt;0,"P",IF(COUNTIFS(tl_sub,$A11,tl_sdg,N$2)&gt;0,"S",""))</f>
        <v/>
      </c>
      <c r="O11" s="53" t="str">
        <f aca="false">IF(COUNTIFS(tl_sub,$A11,tl_sdg,O$2,tl_align,"Primary")&gt;0,"P",IF(COUNTIFS(tl_sub,$A11,tl_sdg,O$2)&gt;0,"S",""))</f>
        <v/>
      </c>
      <c r="P11" s="53" t="str">
        <f aca="false">IF(COUNTIFS(tl_sub,$A11,tl_sdg,P$2,tl_align,"Primary")&gt;0,"P",IF(COUNTIFS(tl_sub,$A11,tl_sdg,P$2)&gt;0,"S",""))</f>
        <v/>
      </c>
      <c r="Q11" s="53" t="str">
        <f aca="false">IF(COUNTIFS(tl_sub,$A11,tl_sdg,Q$2,tl_align,"Primary")&gt;0,"P",IF(COUNTIFS(tl_sub,$A11,tl_sdg,Q$2)&gt;0,"S",""))</f>
        <v/>
      </c>
      <c r="R11" s="53" t="str">
        <f aca="false">IF(COUNTIFS(tl_sub,$A11,tl_sdg,R$2,tl_align,"Primary")&gt;0,"P",IF(COUNTIFS(tl_sub,$A11,tl_sdg,R$2)&gt;0,"S",""))</f>
        <v>P</v>
      </c>
      <c r="S11" s="53" t="str">
        <f aca="false">IF(COUNTIFS(tl_sub,$A11,tl_sdg,S$2,tl_align,"Primary")&gt;0,"P",IF(COUNTIFS(tl_sub,$A11,tl_sdg,S$2)&gt;0,"S",""))</f>
        <v>S</v>
      </c>
    </row>
    <row r="12" customFormat="false" ht="15" hidden="false" customHeight="true" outlineLevel="0" collapsed="false">
      <c r="A12" s="8" t="s">
        <v>134</v>
      </c>
      <c r="B12" s="5" t="s">
        <v>136</v>
      </c>
      <c r="C12" s="53" t="str">
        <f aca="false">IF(COUNTIFS(tl_sub,$A12,tl_sdg,C$2,tl_align,"Primary")&gt;0,"P",IF(COUNTIFS(tl_sub,$A12,tl_sdg,C$2)&gt;0,"S",""))</f>
        <v/>
      </c>
      <c r="D12" s="53" t="str">
        <f aca="false">IF(COUNTIFS(tl_sub,$A12,tl_sdg,D$2,tl_align,"Primary")&gt;0,"P",IF(COUNTIFS(tl_sub,$A12,tl_sdg,D$2)&gt;0,"S",""))</f>
        <v/>
      </c>
      <c r="E12" s="53" t="str">
        <f aca="false">IF(COUNTIFS(tl_sub,$A12,tl_sdg,E$2,tl_align,"Primary")&gt;0,"P",IF(COUNTIFS(tl_sub,$A12,tl_sdg,E$2)&gt;0,"S",""))</f>
        <v/>
      </c>
      <c r="F12" s="53" t="str">
        <f aca="false">IF(COUNTIFS(tl_sub,$A12,tl_sdg,F$2,tl_align,"Primary")&gt;0,"P",IF(COUNTIFS(tl_sub,$A12,tl_sdg,F$2)&gt;0,"S",""))</f>
        <v/>
      </c>
      <c r="G12" s="53" t="str">
        <f aca="false">IF(COUNTIFS(tl_sub,$A12,tl_sdg,G$2,tl_align,"Primary")&gt;0,"P",IF(COUNTIFS(tl_sub,$A12,tl_sdg,G$2)&gt;0,"S",""))</f>
        <v/>
      </c>
      <c r="H12" s="53" t="str">
        <f aca="false">IF(COUNTIFS(tl_sub,$A12,tl_sdg,H$2,tl_align,"Primary")&gt;0,"P",IF(COUNTIFS(tl_sub,$A12,tl_sdg,H$2)&gt;0,"S",""))</f>
        <v/>
      </c>
      <c r="I12" s="53" t="str">
        <f aca="false">IF(COUNTIFS(tl_sub,$A12,tl_sdg,I$2,tl_align,"Primary")&gt;0,"P",IF(COUNTIFS(tl_sub,$A12,tl_sdg,I$2)&gt;0,"S",""))</f>
        <v/>
      </c>
      <c r="J12" s="53" t="str">
        <f aca="false">IF(COUNTIFS(tl_sub,$A12,tl_sdg,J$2,tl_align,"Primary")&gt;0,"P",IF(COUNTIFS(tl_sub,$A12,tl_sdg,J$2)&gt;0,"S",""))</f>
        <v>S</v>
      </c>
      <c r="K12" s="53" t="str">
        <f aca="false">IF(COUNTIFS(tl_sub,$A12,tl_sdg,K$2,tl_align,"Primary")&gt;0,"P",IF(COUNTIFS(tl_sub,$A12,tl_sdg,K$2)&gt;0,"S",""))</f>
        <v/>
      </c>
      <c r="L12" s="53" t="str">
        <f aca="false">IF(COUNTIFS(tl_sub,$A12,tl_sdg,L$2,tl_align,"Primary")&gt;0,"P",IF(COUNTIFS(tl_sub,$A12,tl_sdg,L$2)&gt;0,"S",""))</f>
        <v>S</v>
      </c>
      <c r="M12" s="53" t="str">
        <f aca="false">IF(COUNTIFS(tl_sub,$A12,tl_sdg,M$2,tl_align,"Primary")&gt;0,"P",IF(COUNTIFS(tl_sub,$A12,tl_sdg,M$2)&gt;0,"S",""))</f>
        <v>S</v>
      </c>
      <c r="N12" s="53" t="str">
        <f aca="false">IF(COUNTIFS(tl_sub,$A12,tl_sdg,N$2,tl_align,"Primary")&gt;0,"P",IF(COUNTIFS(tl_sub,$A12,tl_sdg,N$2)&gt;0,"S",""))</f>
        <v/>
      </c>
      <c r="O12" s="53" t="str">
        <f aca="false">IF(COUNTIFS(tl_sub,$A12,tl_sdg,O$2,tl_align,"Primary")&gt;0,"P",IF(COUNTIFS(tl_sub,$A12,tl_sdg,O$2)&gt;0,"S",""))</f>
        <v/>
      </c>
      <c r="P12" s="53" t="str">
        <f aca="false">IF(COUNTIFS(tl_sub,$A12,tl_sdg,P$2,tl_align,"Primary")&gt;0,"P",IF(COUNTIFS(tl_sub,$A12,tl_sdg,P$2)&gt;0,"S",""))</f>
        <v/>
      </c>
      <c r="Q12" s="53" t="str">
        <f aca="false">IF(COUNTIFS(tl_sub,$A12,tl_sdg,Q$2,tl_align,"Primary")&gt;0,"P",IF(COUNTIFS(tl_sub,$A12,tl_sdg,Q$2)&gt;0,"S",""))</f>
        <v/>
      </c>
      <c r="R12" s="53" t="str">
        <f aca="false">IF(COUNTIFS(tl_sub,$A12,tl_sdg,R$2,tl_align,"Primary")&gt;0,"P",IF(COUNTIFS(tl_sub,$A12,tl_sdg,R$2)&gt;0,"S",""))</f>
        <v>P</v>
      </c>
      <c r="S12" s="53" t="str">
        <f aca="false">IF(COUNTIFS(tl_sub,$A12,tl_sdg,S$2,tl_align,"Primary")&gt;0,"P",IF(COUNTIFS(tl_sub,$A12,tl_sdg,S$2)&gt;0,"S",""))</f>
        <v>S</v>
      </c>
    </row>
    <row r="13" customFormat="false" ht="15" hidden="false" customHeight="true" outlineLevel="0" collapsed="false">
      <c r="B13" s="4" t="s">
        <v>529</v>
      </c>
      <c r="C13" s="10" t="n">
        <f aca="false">COUNTIF(C3:C12,"?*")</f>
        <v>1</v>
      </c>
      <c r="D13" s="10" t="n">
        <f aca="false">COUNTIF(D3:D12,"?*")</f>
        <v>0</v>
      </c>
      <c r="E13" s="10" t="n">
        <f aca="false">COUNTIF(E3:E12,"?*")</f>
        <v>0</v>
      </c>
      <c r="F13" s="10" t="n">
        <f aca="false">COUNTIF(F3:F12,"?*")</f>
        <v>1</v>
      </c>
      <c r="G13" s="10" t="n">
        <f aca="false">COUNTIF(G3:G12,"?*")</f>
        <v>0</v>
      </c>
      <c r="H13" s="10" t="n">
        <f aca="false">COUNTIF(H3:H12,"?*")</f>
        <v>1</v>
      </c>
      <c r="I13" s="10" t="n">
        <f aca="false">COUNTIF(I3:I12,"?*")</f>
        <v>1</v>
      </c>
      <c r="J13" s="10" t="n">
        <f aca="false">COUNTIF(J3:J12,"?*")</f>
        <v>5</v>
      </c>
      <c r="K13" s="10" t="n">
        <f aca="false">COUNTIF(K3:K12,"?*")</f>
        <v>7</v>
      </c>
      <c r="L13" s="10" t="n">
        <f aca="false">COUNTIF(L3:L12,"?*")</f>
        <v>4</v>
      </c>
      <c r="M13" s="10" t="n">
        <f aca="false">COUNTIF(M3:M12,"?*")</f>
        <v>7</v>
      </c>
      <c r="N13" s="10" t="n">
        <f aca="false">COUNTIF(N3:N12,"?*")</f>
        <v>4</v>
      </c>
      <c r="O13" s="10" t="n">
        <f aca="false">COUNTIF(O3:O12,"?*")</f>
        <v>3</v>
      </c>
      <c r="P13" s="10" t="n">
        <f aca="false">COUNTIF(P3:P12,"?*")</f>
        <v>0</v>
      </c>
      <c r="Q13" s="10" t="n">
        <f aca="false">COUNTIF(Q3:Q12,"?*")</f>
        <v>0</v>
      </c>
      <c r="R13" s="10" t="n">
        <f aca="false">COUNTIF(R3:R12,"?*")</f>
        <v>5</v>
      </c>
      <c r="S13" s="10" t="n">
        <f aca="false">COUNTIF(S3:S12,"?*")</f>
        <v>5</v>
      </c>
    </row>
    <row r="15" customFormat="false" ht="15" hidden="false" customHeight="true" outlineLevel="0" collapsed="false">
      <c r="A15" s="54" t="s">
        <v>530</v>
      </c>
    </row>
  </sheetData>
  <conditionalFormatting sqref="C3:S12">
    <cfRule type="cellIs" priority="2" operator="equal" aboveAverage="0" equalAverage="0" bottom="0" percent="0" rank="0" text="" dxfId="15">
      <formula>"P"</formula>
    </cfRule>
    <cfRule type="cellIs" priority="3" operator="equal" aboveAverage="0" equalAverage="0" bottom="0" percent="0" rank="0" text="" dxfId="21">
      <formula>"S"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2"/>
    <col collapsed="false" customWidth="true" hidden="false" outlineLevel="0" max="3" min="3" style="1" width="80"/>
    <col collapsed="false" customWidth="true" hidden="false" outlineLevel="0" max="4" min="4" style="1" width="10"/>
    <col collapsed="false" customWidth="true" hidden="false" outlineLevel="0" max="6" min="5" style="1" width="11"/>
    <col collapsed="false" customWidth="true" hidden="false" outlineLevel="0" max="7" min="7" style="1" width="13"/>
  </cols>
  <sheetData>
    <row r="1" customFormat="false" ht="30" hidden="false" customHeight="true" outlineLevel="0" collapsed="false">
      <c r="A1" s="7" t="s">
        <v>144</v>
      </c>
      <c r="B1" s="6" t="s">
        <v>26</v>
      </c>
      <c r="C1" s="6" t="s">
        <v>531</v>
      </c>
      <c r="D1" s="6" t="s">
        <v>532</v>
      </c>
      <c r="E1" s="7" t="s">
        <v>31</v>
      </c>
      <c r="F1" s="7" t="s">
        <v>533</v>
      </c>
      <c r="G1" s="7" t="s">
        <v>27</v>
      </c>
    </row>
    <row r="2" customFormat="false" ht="15" hidden="false" customHeight="true" outlineLevel="0" collapsed="false">
      <c r="A2" s="25" t="n">
        <v>1</v>
      </c>
      <c r="B2" s="4" t="s">
        <v>318</v>
      </c>
      <c r="C2" s="5" t="s">
        <v>534</v>
      </c>
      <c r="D2" s="5" t="s">
        <v>535</v>
      </c>
      <c r="E2" s="9" t="n">
        <f aca="false">COUNTIF(tl_sdg,A2)</f>
        <v>1</v>
      </c>
      <c r="F2" s="9" t="n">
        <f aca="false">COUNTIFS(tl_sdg,A2,tl_align,"Primary")</f>
        <v>0</v>
      </c>
      <c r="G2" s="9" t="n">
        <f aca="false">COUNTIF('SDG matrix'!C3:C12,"?*")</f>
        <v>1</v>
      </c>
    </row>
    <row r="3" customFormat="false" ht="15" hidden="false" customHeight="true" outlineLevel="0" collapsed="false">
      <c r="A3" s="55" t="n">
        <v>2</v>
      </c>
      <c r="B3" s="4" t="s">
        <v>536</v>
      </c>
      <c r="C3" s="5" t="s">
        <v>537</v>
      </c>
      <c r="D3" s="5" t="s">
        <v>538</v>
      </c>
      <c r="E3" s="9" t="n">
        <f aca="false">COUNTIF(tl_sdg,A3)</f>
        <v>0</v>
      </c>
      <c r="F3" s="9" t="n">
        <f aca="false">COUNTIFS(tl_sdg,A3,tl_align,"Primary")</f>
        <v>0</v>
      </c>
      <c r="G3" s="9" t="n">
        <f aca="false">COUNTIF('SDG matrix'!D3:D12,"?*")</f>
        <v>0</v>
      </c>
    </row>
    <row r="4" customFormat="false" ht="15" hidden="false" customHeight="true" outlineLevel="0" collapsed="false">
      <c r="A4" s="56" t="n">
        <v>3</v>
      </c>
      <c r="B4" s="4" t="s">
        <v>539</v>
      </c>
      <c r="C4" s="5" t="s">
        <v>540</v>
      </c>
      <c r="D4" s="5" t="s">
        <v>541</v>
      </c>
      <c r="E4" s="9" t="n">
        <f aca="false">COUNTIF(tl_sdg,A4)</f>
        <v>0</v>
      </c>
      <c r="F4" s="9" t="n">
        <f aca="false">COUNTIFS(tl_sdg,A4,tl_align,"Primary")</f>
        <v>0</v>
      </c>
      <c r="G4" s="9" t="n">
        <f aca="false">COUNTIF('SDG matrix'!E3:E12,"?*")</f>
        <v>0</v>
      </c>
    </row>
    <row r="5" customFormat="false" ht="15" hidden="false" customHeight="true" outlineLevel="0" collapsed="false">
      <c r="A5" s="23" t="n">
        <v>4</v>
      </c>
      <c r="B5" s="4" t="s">
        <v>302</v>
      </c>
      <c r="C5" s="5" t="s">
        <v>542</v>
      </c>
      <c r="D5" s="5" t="s">
        <v>543</v>
      </c>
      <c r="E5" s="9" t="n">
        <f aca="false">COUNTIF(tl_sdg,A5)</f>
        <v>1</v>
      </c>
      <c r="F5" s="9" t="n">
        <f aca="false">COUNTIFS(tl_sdg,A5,tl_align,"Primary")</f>
        <v>0</v>
      </c>
      <c r="G5" s="9" t="n">
        <f aca="false">COUNTIF('SDG matrix'!F3:F12,"?*")</f>
        <v>1</v>
      </c>
    </row>
    <row r="6" customFormat="false" ht="15" hidden="false" customHeight="true" outlineLevel="0" collapsed="false">
      <c r="A6" s="57" t="n">
        <v>5</v>
      </c>
      <c r="B6" s="4" t="s">
        <v>544</v>
      </c>
      <c r="C6" s="5" t="s">
        <v>545</v>
      </c>
      <c r="D6" s="5" t="s">
        <v>546</v>
      </c>
      <c r="E6" s="9" t="n">
        <f aca="false">COUNTIF(tl_sdg,A6)</f>
        <v>0</v>
      </c>
      <c r="F6" s="9" t="n">
        <f aca="false">COUNTIFS(tl_sdg,A6,tl_align,"Primary")</f>
        <v>0</v>
      </c>
      <c r="G6" s="9" t="n">
        <f aca="false">COUNTIF('SDG matrix'!G3:G12,"?*")</f>
        <v>0</v>
      </c>
    </row>
    <row r="7" customFormat="false" ht="15" hidden="false" customHeight="true" outlineLevel="0" collapsed="false">
      <c r="A7" s="21" t="n">
        <v>6</v>
      </c>
      <c r="B7" s="4" t="s">
        <v>219</v>
      </c>
      <c r="C7" s="5" t="s">
        <v>547</v>
      </c>
      <c r="D7" s="5" t="s">
        <v>548</v>
      </c>
      <c r="E7" s="9" t="n">
        <f aca="false">COUNTIF(tl_sdg,A7)</f>
        <v>2</v>
      </c>
      <c r="F7" s="9" t="n">
        <f aca="false">COUNTIFS(tl_sdg,A7,tl_align,"Primary")</f>
        <v>0</v>
      </c>
      <c r="G7" s="9" t="n">
        <f aca="false">COUNTIF('SDG matrix'!H3:H12,"?*")</f>
        <v>1</v>
      </c>
    </row>
    <row r="8" customFormat="false" ht="15" hidden="false" customHeight="true" outlineLevel="0" collapsed="false">
      <c r="A8" s="22" t="n">
        <v>7</v>
      </c>
      <c r="B8" s="4" t="s">
        <v>229</v>
      </c>
      <c r="C8" s="5" t="s">
        <v>549</v>
      </c>
      <c r="D8" s="5" t="s">
        <v>550</v>
      </c>
      <c r="E8" s="9" t="n">
        <f aca="false">COUNTIF(tl_sdg,A8)</f>
        <v>2</v>
      </c>
      <c r="F8" s="9" t="n">
        <f aca="false">COUNTIFS(tl_sdg,A8,tl_align,"Primary")</f>
        <v>0</v>
      </c>
      <c r="G8" s="9" t="n">
        <f aca="false">COUNTIF('SDG matrix'!I3:I12,"?*")</f>
        <v>1</v>
      </c>
    </row>
    <row r="9" customFormat="false" ht="23.25" hidden="false" customHeight="true" outlineLevel="0" collapsed="false">
      <c r="A9" s="15" t="n">
        <v>8</v>
      </c>
      <c r="B9" s="4" t="s">
        <v>167</v>
      </c>
      <c r="C9" s="5" t="s">
        <v>551</v>
      </c>
      <c r="D9" s="5" t="s">
        <v>552</v>
      </c>
      <c r="E9" s="9" t="n">
        <f aca="false">COUNTIF(tl_sdg,A9)</f>
        <v>6</v>
      </c>
      <c r="F9" s="9" t="n">
        <f aca="false">COUNTIFS(tl_sdg,A9,tl_align,"Primary")</f>
        <v>0</v>
      </c>
      <c r="G9" s="9" t="n">
        <f aca="false">COUNTIF('SDG matrix'!J3:J12,"?*")</f>
        <v>5</v>
      </c>
    </row>
    <row r="10" customFormat="false" ht="23.25" hidden="false" customHeight="true" outlineLevel="0" collapsed="false">
      <c r="A10" s="12" t="n">
        <v>9</v>
      </c>
      <c r="B10" s="4" t="s">
        <v>153</v>
      </c>
      <c r="C10" s="5" t="s">
        <v>553</v>
      </c>
      <c r="D10" s="5" t="s">
        <v>554</v>
      </c>
      <c r="E10" s="9" t="n">
        <f aca="false">COUNTIF(tl_sdg,A10)</f>
        <v>10</v>
      </c>
      <c r="F10" s="9" t="n">
        <f aca="false">COUNTIFS(tl_sdg,A10,tl_align,"Primary")</f>
        <v>6</v>
      </c>
      <c r="G10" s="9" t="n">
        <f aca="false">COUNTIF('SDG matrix'!K3:K12,"?*")</f>
        <v>7</v>
      </c>
    </row>
    <row r="11" customFormat="false" ht="15" hidden="false" customHeight="true" outlineLevel="0" collapsed="false">
      <c r="A11" s="24" t="n">
        <v>10</v>
      </c>
      <c r="B11" s="4" t="s">
        <v>310</v>
      </c>
      <c r="C11" s="5" t="s">
        <v>555</v>
      </c>
      <c r="D11" s="5" t="s">
        <v>556</v>
      </c>
      <c r="E11" s="9" t="n">
        <f aca="false">COUNTIF(tl_sdg,A11)</f>
        <v>4</v>
      </c>
      <c r="F11" s="9" t="n">
        <f aca="false">COUNTIFS(tl_sdg,A11,tl_align,"Primary")</f>
        <v>1</v>
      </c>
      <c r="G11" s="9" t="n">
        <f aca="false">COUNTIF('SDG matrix'!L3:L12,"?*")</f>
        <v>4</v>
      </c>
    </row>
    <row r="12" customFormat="false" ht="15" hidden="false" customHeight="true" outlineLevel="0" collapsed="false">
      <c r="A12" s="16" t="n">
        <v>11</v>
      </c>
      <c r="B12" s="4" t="s">
        <v>174</v>
      </c>
      <c r="C12" s="5" t="s">
        <v>557</v>
      </c>
      <c r="D12" s="5" t="s">
        <v>558</v>
      </c>
      <c r="E12" s="9" t="n">
        <f aca="false">COUNTIF(tl_sdg,A12)</f>
        <v>12</v>
      </c>
      <c r="F12" s="9" t="n">
        <f aca="false">COUNTIFS(tl_sdg,A12,tl_align,"Primary")</f>
        <v>7</v>
      </c>
      <c r="G12" s="9" t="n">
        <f aca="false">COUNTIF('SDG matrix'!M3:M12,"?*")</f>
        <v>7</v>
      </c>
    </row>
    <row r="13" customFormat="false" ht="23.25" hidden="false" customHeight="true" outlineLevel="0" collapsed="false">
      <c r="A13" s="17" t="n">
        <v>12</v>
      </c>
      <c r="B13" s="4" t="s">
        <v>180</v>
      </c>
      <c r="C13" s="5" t="s">
        <v>559</v>
      </c>
      <c r="D13" s="5" t="s">
        <v>560</v>
      </c>
      <c r="E13" s="9" t="n">
        <f aca="false">COUNTIF(tl_sdg,A13)</f>
        <v>5</v>
      </c>
      <c r="F13" s="9" t="n">
        <f aca="false">COUNTIFS(tl_sdg,A13,tl_align,"Primary")</f>
        <v>2</v>
      </c>
      <c r="G13" s="9" t="n">
        <f aca="false">COUNTIF('SDG matrix'!N3:N12,"?*")</f>
        <v>4</v>
      </c>
    </row>
    <row r="14" customFormat="false" ht="15" hidden="false" customHeight="true" outlineLevel="0" collapsed="false">
      <c r="A14" s="20" t="n">
        <v>13</v>
      </c>
      <c r="B14" s="4" t="s">
        <v>210</v>
      </c>
      <c r="C14" s="5" t="s">
        <v>561</v>
      </c>
      <c r="D14" s="5" t="s">
        <v>562</v>
      </c>
      <c r="E14" s="9" t="n">
        <f aca="false">COUNTIF(tl_sdg,A14)</f>
        <v>4</v>
      </c>
      <c r="F14" s="9" t="n">
        <f aca="false">COUNTIFS(tl_sdg,A14,tl_align,"Primary")</f>
        <v>2</v>
      </c>
      <c r="G14" s="9" t="n">
        <f aca="false">COUNTIF('SDG matrix'!O3:O12,"?*")</f>
        <v>3</v>
      </c>
    </row>
    <row r="15" customFormat="false" ht="15" hidden="false" customHeight="true" outlineLevel="0" collapsed="false">
      <c r="A15" s="58" t="n">
        <v>14</v>
      </c>
      <c r="B15" s="4" t="s">
        <v>563</v>
      </c>
      <c r="C15" s="5" t="s">
        <v>564</v>
      </c>
      <c r="D15" s="5" t="s">
        <v>565</v>
      </c>
      <c r="E15" s="9" t="n">
        <f aca="false">COUNTIF(tl_sdg,A15)</f>
        <v>0</v>
      </c>
      <c r="F15" s="9" t="n">
        <f aca="false">COUNTIFS(tl_sdg,A15,tl_align,"Primary")</f>
        <v>0</v>
      </c>
      <c r="G15" s="9" t="n">
        <f aca="false">COUNTIF('SDG matrix'!P3:P12,"?*")</f>
        <v>0</v>
      </c>
    </row>
    <row r="16" customFormat="false" ht="23.25" hidden="false" customHeight="true" outlineLevel="0" collapsed="false">
      <c r="A16" s="59" t="n">
        <v>15</v>
      </c>
      <c r="B16" s="4" t="s">
        <v>566</v>
      </c>
      <c r="C16" s="5" t="s">
        <v>567</v>
      </c>
      <c r="D16" s="5" t="s">
        <v>568</v>
      </c>
      <c r="E16" s="9" t="n">
        <f aca="false">COUNTIF(tl_sdg,A16)</f>
        <v>0</v>
      </c>
      <c r="F16" s="9" t="n">
        <f aca="false">COUNTIFS(tl_sdg,A16,tl_align,"Primary")</f>
        <v>0</v>
      </c>
      <c r="G16" s="9" t="n">
        <f aca="false">COUNTIF('SDG matrix'!Q3:Q12,"?*")</f>
        <v>0</v>
      </c>
    </row>
    <row r="17" customFormat="false" ht="23.25" hidden="false" customHeight="true" outlineLevel="0" collapsed="false">
      <c r="A17" s="18" t="n">
        <v>16</v>
      </c>
      <c r="B17" s="4" t="s">
        <v>193</v>
      </c>
      <c r="C17" s="5" t="s">
        <v>569</v>
      </c>
      <c r="D17" s="5" t="s">
        <v>570</v>
      </c>
      <c r="E17" s="9" t="n">
        <f aca="false">COUNTIF(tl_sdg,A17)</f>
        <v>8</v>
      </c>
      <c r="F17" s="9" t="n">
        <f aca="false">COUNTIFS(tl_sdg,A17,tl_align,"Primary")</f>
        <v>3</v>
      </c>
      <c r="G17" s="9" t="n">
        <f aca="false">COUNTIF('SDG matrix'!R3:R12,"?*")</f>
        <v>5</v>
      </c>
    </row>
    <row r="18" customFormat="false" ht="23.25" hidden="false" customHeight="true" outlineLevel="0" collapsed="false">
      <c r="A18" s="19" t="n">
        <v>17</v>
      </c>
      <c r="B18" s="4" t="s">
        <v>203</v>
      </c>
      <c r="C18" s="5" t="s">
        <v>571</v>
      </c>
      <c r="D18" s="5" t="s">
        <v>572</v>
      </c>
      <c r="E18" s="9" t="n">
        <f aca="false">COUNTIF(tl_sdg,A18)</f>
        <v>11</v>
      </c>
      <c r="F18" s="9" t="n">
        <f aca="false">COUNTIFS(tl_sdg,A18,tl_align,"Primary")</f>
        <v>2</v>
      </c>
      <c r="G18" s="9" t="n">
        <f aca="false">COUNTIF('SDG matrix'!S3:S12,"?*")</f>
        <v>5</v>
      </c>
    </row>
    <row r="19" customFormat="false" ht="15" hidden="false" customHeight="true" outlineLevel="0" collapsed="false">
      <c r="B19" s="4" t="s">
        <v>45</v>
      </c>
      <c r="E19" s="10" t="n">
        <f aca="false">SUM(E2:E18)</f>
        <v>66</v>
      </c>
      <c r="F19" s="10" t="n">
        <f aca="false">SUM(F2:F18)</f>
        <v>23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9"/>
    <col collapsed="false" customWidth="true" hidden="false" outlineLevel="0" max="4" min="4" style="0" width="10"/>
    <col collapsed="false" customWidth="true" hidden="false" outlineLevel="0" max="6" min="5" style="0" width="11"/>
    <col collapsed="false" customWidth="true" hidden="false" outlineLevel="0" max="7" min="7" style="0" width="8"/>
    <col collapsed="false" customWidth="true" hidden="false" outlineLevel="0" max="8" min="8" style="0" width="11"/>
    <col collapsed="false" customWidth="true" hidden="false" outlineLevel="0" max="9" min="9" style="0" width="12"/>
    <col collapsed="false" customWidth="true" hidden="false" outlineLevel="0" max="10" min="10" style="0" width="9"/>
    <col collapsed="false" customWidth="true" hidden="false" outlineLevel="0" max="11" min="11" style="0" width="12"/>
    <col collapsed="false" customWidth="true" hidden="false" outlineLevel="0" max="12" min="12" style="0" width="18"/>
    <col collapsed="false" customWidth="true" hidden="false" outlineLevel="0" max="13" min="13" style="0" width="12"/>
    <col collapsed="false" customWidth="true" hidden="false" outlineLevel="0" max="14" min="14" style="0" width="40"/>
  </cols>
  <sheetData>
    <row r="1" customFormat="false" ht="16.15" hidden="false" customHeight="false" outlineLevel="0" collapsed="false">
      <c r="A1" s="60" t="s">
        <v>573</v>
      </c>
    </row>
    <row r="2" customFormat="false" ht="15" hidden="false" customHeight="false" outlineLevel="0" collapsed="false">
      <c r="A2" s="61" t="s">
        <v>574</v>
      </c>
    </row>
    <row r="4" customFormat="false" ht="42" hidden="false" customHeight="true" outlineLevel="0" collapsed="false">
      <c r="A4" s="7" t="s">
        <v>144</v>
      </c>
      <c r="B4" s="6" t="s">
        <v>575</v>
      </c>
      <c r="C4" s="7" t="s">
        <v>576</v>
      </c>
      <c r="D4" s="7" t="s">
        <v>577</v>
      </c>
      <c r="E4" s="7" t="s">
        <v>578</v>
      </c>
      <c r="F4" s="7" t="s">
        <v>579</v>
      </c>
      <c r="G4" s="7" t="s">
        <v>580</v>
      </c>
      <c r="H4" s="7" t="s">
        <v>581</v>
      </c>
      <c r="I4" s="7" t="s">
        <v>582</v>
      </c>
      <c r="J4" s="7" t="s">
        <v>31</v>
      </c>
      <c r="K4" s="7" t="s">
        <v>583</v>
      </c>
      <c r="L4" s="6" t="s">
        <v>584</v>
      </c>
      <c r="M4" s="62" t="s">
        <v>585</v>
      </c>
      <c r="N4" s="63" t="s">
        <v>586</v>
      </c>
    </row>
    <row r="5" customFormat="false" ht="15" hidden="false" customHeight="false" outlineLevel="0" collapsed="false">
      <c r="A5" s="25" t="n">
        <v>1</v>
      </c>
      <c r="B5" s="4" t="s">
        <v>318</v>
      </c>
      <c r="C5" s="9" t="n">
        <f aca="false">COUNTIF(cov_sdg,A5)</f>
        <v>7</v>
      </c>
      <c r="D5" s="9" t="n">
        <f aca="false">COUNTIFS(cov_sdg,A5,cov_status,"&lt;&gt;Gap")</f>
        <v>1</v>
      </c>
      <c r="E5" s="9" t="n">
        <f aca="false">COUNTIFS(cov_sdg,A5,cov_status,"Primary link")</f>
        <v>0</v>
      </c>
      <c r="F5" s="9" t="n">
        <f aca="false">COUNTIFS(cov_sdg,A5,cov_status,"Secondary only")</f>
        <v>1</v>
      </c>
      <c r="G5" s="9" t="n">
        <f aca="false">COUNTIFS(cov_sdg,A5,cov_status,"Gap")</f>
        <v>6</v>
      </c>
      <c r="H5" s="64" t="n">
        <f aca="false">IF(C5=0,0,D5/C5)</f>
        <v>0.142857142857143</v>
      </c>
      <c r="I5" s="9" t="n">
        <f aca="false">COUNTIFS(cov_sdg,A5,cov_status,"Gap",cov_type,"Outcome")</f>
        <v>4</v>
      </c>
      <c r="J5" s="9" t="n">
        <f aca="false">COUNTIF(tl_sdg,A5)</f>
        <v>1</v>
      </c>
      <c r="K5" s="9" t="n">
        <f aca="false">COUNTIF('SDG matrix'!C3:C12,"?*")</f>
        <v>1</v>
      </c>
      <c r="L5" s="5" t="str">
        <f aca="false">_xlfn.TEXTJOIN(", ",TRUE(),IF(SUMPRODUCT((tl_sdg=$A5)*(tl_principle="PP1"))&gt;0,"PP1",""),IF(SUMPRODUCT((tl_sdg=$A5)*(tl_principle="PP2"))&gt;0,"PP2",""),IF(SUMPRODUCT((tl_sdg=$A5)*(tl_principle="PP3"))&gt;0,"PP3",""),IF(SUMPRODUCT((tl_sdg=$A5)*(tl_principle="PP4"))&gt;0,"PP4",""))</f>
        <v>PP3</v>
      </c>
      <c r="M5" s="65"/>
      <c r="N5" s="66"/>
    </row>
    <row r="6" customFormat="false" ht="15" hidden="false" customHeight="false" outlineLevel="0" collapsed="false">
      <c r="A6" s="55" t="n">
        <v>2</v>
      </c>
      <c r="B6" s="4" t="s">
        <v>536</v>
      </c>
      <c r="C6" s="9" t="n">
        <f aca="false">COUNTIF(cov_sdg,A6)</f>
        <v>8</v>
      </c>
      <c r="D6" s="9" t="n">
        <f aca="false">COUNTIFS(cov_sdg,A6,cov_status,"&lt;&gt;Gap")</f>
        <v>0</v>
      </c>
      <c r="E6" s="9" t="n">
        <f aca="false">COUNTIFS(cov_sdg,A6,cov_status,"Primary link")</f>
        <v>0</v>
      </c>
      <c r="F6" s="9" t="n">
        <f aca="false">COUNTIFS(cov_sdg,A6,cov_status,"Secondary only")</f>
        <v>0</v>
      </c>
      <c r="G6" s="9" t="n">
        <f aca="false">COUNTIFS(cov_sdg,A6,cov_status,"Gap")</f>
        <v>8</v>
      </c>
      <c r="H6" s="64" t="n">
        <f aca="false">IF(C6=0,0,D6/C6)</f>
        <v>0</v>
      </c>
      <c r="I6" s="9" t="n">
        <f aca="false">COUNTIFS(cov_sdg,A6,cov_status,"Gap",cov_type,"Outcome")</f>
        <v>5</v>
      </c>
      <c r="J6" s="9" t="n">
        <f aca="false">COUNTIF(tl_sdg,A6)</f>
        <v>0</v>
      </c>
      <c r="K6" s="9" t="n">
        <f aca="false">COUNTIF('SDG matrix'!D3:D12,"?*")</f>
        <v>0</v>
      </c>
      <c r="L6" s="5" t="str">
        <f aca="false">_xlfn.TEXTJOIN(", ",TRUE(),IF(SUMPRODUCT((tl_sdg=$A6)*(tl_principle="PP1"))&gt;0,"PP1",""),IF(SUMPRODUCT((tl_sdg=$A6)*(tl_principle="PP2"))&gt;0,"PP2",""),IF(SUMPRODUCT((tl_sdg=$A6)*(tl_principle="PP3"))&gt;0,"PP3",""),IF(SUMPRODUCT((tl_sdg=$A6)*(tl_principle="PP4"))&gt;0,"PP4",""))</f>
        <v/>
      </c>
      <c r="M6" s="65"/>
      <c r="N6" s="66"/>
    </row>
    <row r="7" customFormat="false" ht="15" hidden="false" customHeight="false" outlineLevel="0" collapsed="false">
      <c r="A7" s="56" t="n">
        <v>3</v>
      </c>
      <c r="B7" s="4" t="s">
        <v>539</v>
      </c>
      <c r="C7" s="9" t="n">
        <f aca="false">COUNTIF(cov_sdg,A7)</f>
        <v>13</v>
      </c>
      <c r="D7" s="9" t="n">
        <f aca="false">COUNTIFS(cov_sdg,A7,cov_status,"&lt;&gt;Gap")</f>
        <v>0</v>
      </c>
      <c r="E7" s="9" t="n">
        <f aca="false">COUNTIFS(cov_sdg,A7,cov_status,"Primary link")</f>
        <v>0</v>
      </c>
      <c r="F7" s="9" t="n">
        <f aca="false">COUNTIFS(cov_sdg,A7,cov_status,"Secondary only")</f>
        <v>0</v>
      </c>
      <c r="G7" s="9" t="n">
        <f aca="false">COUNTIFS(cov_sdg,A7,cov_status,"Gap")</f>
        <v>13</v>
      </c>
      <c r="H7" s="64" t="n">
        <f aca="false">IF(C7=0,0,D7/C7)</f>
        <v>0</v>
      </c>
      <c r="I7" s="9" t="n">
        <f aca="false">COUNTIFS(cov_sdg,A7,cov_status,"Gap",cov_type,"Outcome")</f>
        <v>9</v>
      </c>
      <c r="J7" s="9" t="n">
        <f aca="false">COUNTIF(tl_sdg,A7)</f>
        <v>0</v>
      </c>
      <c r="K7" s="9" t="n">
        <f aca="false">COUNTIF('SDG matrix'!E3:E12,"?*")</f>
        <v>0</v>
      </c>
      <c r="L7" s="5" t="str">
        <f aca="false">_xlfn.TEXTJOIN(", ",TRUE(),IF(SUMPRODUCT((tl_sdg=$A7)*(tl_principle="PP1"))&gt;0,"PP1",""),IF(SUMPRODUCT((tl_sdg=$A7)*(tl_principle="PP2"))&gt;0,"PP2",""),IF(SUMPRODUCT((tl_sdg=$A7)*(tl_principle="PP3"))&gt;0,"PP3",""),IF(SUMPRODUCT((tl_sdg=$A7)*(tl_principle="PP4"))&gt;0,"PP4",""))</f>
        <v/>
      </c>
      <c r="M7" s="65"/>
      <c r="N7" s="66"/>
    </row>
    <row r="8" customFormat="false" ht="15" hidden="false" customHeight="false" outlineLevel="0" collapsed="false">
      <c r="A8" s="23" t="n">
        <v>4</v>
      </c>
      <c r="B8" s="4" t="s">
        <v>302</v>
      </c>
      <c r="C8" s="9" t="n">
        <f aca="false">COUNTIF(cov_sdg,A8)</f>
        <v>10</v>
      </c>
      <c r="D8" s="9" t="n">
        <f aca="false">COUNTIFS(cov_sdg,A8,cov_status,"&lt;&gt;Gap")</f>
        <v>1</v>
      </c>
      <c r="E8" s="9" t="n">
        <f aca="false">COUNTIFS(cov_sdg,A8,cov_status,"Primary link")</f>
        <v>0</v>
      </c>
      <c r="F8" s="9" t="n">
        <f aca="false">COUNTIFS(cov_sdg,A8,cov_status,"Secondary only")</f>
        <v>1</v>
      </c>
      <c r="G8" s="9" t="n">
        <f aca="false">COUNTIFS(cov_sdg,A8,cov_status,"Gap")</f>
        <v>9</v>
      </c>
      <c r="H8" s="64" t="n">
        <f aca="false">IF(C8=0,0,D8/C8)</f>
        <v>0.1</v>
      </c>
      <c r="I8" s="9" t="n">
        <f aca="false">COUNTIFS(cov_sdg,A8,cov_status,"Gap",cov_type,"Outcome")</f>
        <v>6</v>
      </c>
      <c r="J8" s="9" t="n">
        <f aca="false">COUNTIF(tl_sdg,A8)</f>
        <v>1</v>
      </c>
      <c r="K8" s="9" t="n">
        <f aca="false">COUNTIF('SDG matrix'!F3:F12,"?*")</f>
        <v>1</v>
      </c>
      <c r="L8" s="5" t="str">
        <f aca="false">_xlfn.TEXTJOIN(", ",TRUE(),IF(SUMPRODUCT((tl_sdg=$A8)*(tl_principle="PP1"))&gt;0,"PP1",""),IF(SUMPRODUCT((tl_sdg=$A8)*(tl_principle="PP2"))&gt;0,"PP2",""),IF(SUMPRODUCT((tl_sdg=$A8)*(tl_principle="PP3"))&gt;0,"PP3",""),IF(SUMPRODUCT((tl_sdg=$A8)*(tl_principle="PP4"))&gt;0,"PP4",""))</f>
        <v>PP3</v>
      </c>
      <c r="M8" s="65"/>
      <c r="N8" s="66"/>
    </row>
    <row r="9" customFormat="false" ht="15" hidden="false" customHeight="false" outlineLevel="0" collapsed="false">
      <c r="A9" s="57" t="n">
        <v>5</v>
      </c>
      <c r="B9" s="4" t="s">
        <v>544</v>
      </c>
      <c r="C9" s="9" t="n">
        <f aca="false">COUNTIF(cov_sdg,A9)</f>
        <v>9</v>
      </c>
      <c r="D9" s="9" t="n">
        <f aca="false">COUNTIFS(cov_sdg,A9,cov_status,"&lt;&gt;Gap")</f>
        <v>0</v>
      </c>
      <c r="E9" s="9" t="n">
        <f aca="false">COUNTIFS(cov_sdg,A9,cov_status,"Primary link")</f>
        <v>0</v>
      </c>
      <c r="F9" s="9" t="n">
        <f aca="false">COUNTIFS(cov_sdg,A9,cov_status,"Secondary only")</f>
        <v>0</v>
      </c>
      <c r="G9" s="9" t="n">
        <f aca="false">COUNTIFS(cov_sdg,A9,cov_status,"Gap")</f>
        <v>9</v>
      </c>
      <c r="H9" s="64" t="n">
        <f aca="false">IF(C9=0,0,D9/C9)</f>
        <v>0</v>
      </c>
      <c r="I9" s="9" t="n">
        <f aca="false">COUNTIFS(cov_sdg,A9,cov_status,"Gap",cov_type,"Outcome")</f>
        <v>6</v>
      </c>
      <c r="J9" s="9" t="n">
        <f aca="false">COUNTIF(tl_sdg,A9)</f>
        <v>0</v>
      </c>
      <c r="K9" s="9" t="n">
        <f aca="false">COUNTIF('SDG matrix'!G3:G12,"?*")</f>
        <v>0</v>
      </c>
      <c r="L9" s="5" t="str">
        <f aca="false">_xlfn.TEXTJOIN(", ",TRUE(),IF(SUMPRODUCT((tl_sdg=$A9)*(tl_principle="PP1"))&gt;0,"PP1",""),IF(SUMPRODUCT((tl_sdg=$A9)*(tl_principle="PP2"))&gt;0,"PP2",""),IF(SUMPRODUCT((tl_sdg=$A9)*(tl_principle="PP3"))&gt;0,"PP3",""),IF(SUMPRODUCT((tl_sdg=$A9)*(tl_principle="PP4"))&gt;0,"PP4",""))</f>
        <v/>
      </c>
      <c r="M9" s="65"/>
      <c r="N9" s="66"/>
    </row>
    <row r="10" customFormat="false" ht="15" hidden="false" customHeight="false" outlineLevel="0" collapsed="false">
      <c r="A10" s="21" t="n">
        <v>6</v>
      </c>
      <c r="B10" s="4" t="s">
        <v>219</v>
      </c>
      <c r="C10" s="9" t="n">
        <f aca="false">COUNTIF(cov_sdg,A10)</f>
        <v>8</v>
      </c>
      <c r="D10" s="9" t="n">
        <f aca="false">COUNTIFS(cov_sdg,A10,cov_status,"&lt;&gt;Gap")</f>
        <v>2</v>
      </c>
      <c r="E10" s="9" t="n">
        <f aca="false">COUNTIFS(cov_sdg,A10,cov_status,"Primary link")</f>
        <v>0</v>
      </c>
      <c r="F10" s="9" t="n">
        <f aca="false">COUNTIFS(cov_sdg,A10,cov_status,"Secondary only")</f>
        <v>2</v>
      </c>
      <c r="G10" s="9" t="n">
        <f aca="false">COUNTIFS(cov_sdg,A10,cov_status,"Gap")</f>
        <v>6</v>
      </c>
      <c r="H10" s="64" t="n">
        <f aca="false">IF(C10=0,0,D10/C10)</f>
        <v>0.25</v>
      </c>
      <c r="I10" s="9" t="n">
        <f aca="false">COUNTIFS(cov_sdg,A10,cov_status,"Gap",cov_type,"Outcome")</f>
        <v>4</v>
      </c>
      <c r="J10" s="9" t="n">
        <f aca="false">COUNTIF(tl_sdg,A10)</f>
        <v>2</v>
      </c>
      <c r="K10" s="9" t="n">
        <f aca="false">COUNTIF('SDG matrix'!H3:H12,"?*")</f>
        <v>1</v>
      </c>
      <c r="L10" s="5" t="str">
        <f aca="false">_xlfn.TEXTJOIN(", ",TRUE(),IF(SUMPRODUCT((tl_sdg=$A10)*(tl_principle="PP1"))&gt;0,"PP1",""),IF(SUMPRODUCT((tl_sdg=$A10)*(tl_principle="PP2"))&gt;0,"PP2",""),IF(SUMPRODUCT((tl_sdg=$A10)*(tl_principle="PP3"))&gt;0,"PP3",""),IF(SUMPRODUCT((tl_sdg=$A10)*(tl_principle="PP4"))&gt;0,"PP4",""))</f>
        <v>PP2</v>
      </c>
      <c r="M10" s="65"/>
      <c r="N10" s="66"/>
    </row>
    <row r="11" customFormat="false" ht="15" hidden="false" customHeight="false" outlineLevel="0" collapsed="false">
      <c r="A11" s="22" t="n">
        <v>7</v>
      </c>
      <c r="B11" s="4" t="s">
        <v>229</v>
      </c>
      <c r="C11" s="9" t="n">
        <f aca="false">COUNTIF(cov_sdg,A11)</f>
        <v>5</v>
      </c>
      <c r="D11" s="9" t="n">
        <f aca="false">COUNTIFS(cov_sdg,A11,cov_status,"&lt;&gt;Gap")</f>
        <v>2</v>
      </c>
      <c r="E11" s="9" t="n">
        <f aca="false">COUNTIFS(cov_sdg,A11,cov_status,"Primary link")</f>
        <v>0</v>
      </c>
      <c r="F11" s="9" t="n">
        <f aca="false">COUNTIFS(cov_sdg,A11,cov_status,"Secondary only")</f>
        <v>2</v>
      </c>
      <c r="G11" s="9" t="n">
        <f aca="false">COUNTIFS(cov_sdg,A11,cov_status,"Gap")</f>
        <v>3</v>
      </c>
      <c r="H11" s="64" t="n">
        <f aca="false">IF(C11=0,0,D11/C11)</f>
        <v>0.4</v>
      </c>
      <c r="I11" s="9" t="n">
        <f aca="false">COUNTIFS(cov_sdg,A11,cov_status,"Gap",cov_type,"Outcome")</f>
        <v>1</v>
      </c>
      <c r="J11" s="9" t="n">
        <f aca="false">COUNTIF(tl_sdg,A11)</f>
        <v>2</v>
      </c>
      <c r="K11" s="9" t="n">
        <f aca="false">COUNTIF('SDG matrix'!I3:I12,"?*")</f>
        <v>1</v>
      </c>
      <c r="L11" s="5" t="str">
        <f aca="false">_xlfn.TEXTJOIN(", ",TRUE(),IF(SUMPRODUCT((tl_sdg=$A11)*(tl_principle="PP1"))&gt;0,"PP1",""),IF(SUMPRODUCT((tl_sdg=$A11)*(tl_principle="PP2"))&gt;0,"PP2",""),IF(SUMPRODUCT((tl_sdg=$A11)*(tl_principle="PP3"))&gt;0,"PP3",""),IF(SUMPRODUCT((tl_sdg=$A11)*(tl_principle="PP4"))&gt;0,"PP4",""))</f>
        <v>PP2</v>
      </c>
      <c r="M11" s="65"/>
      <c r="N11" s="66"/>
    </row>
    <row r="12" customFormat="false" ht="23.85" hidden="false" customHeight="false" outlineLevel="0" collapsed="false">
      <c r="A12" s="15" t="n">
        <v>8</v>
      </c>
      <c r="B12" s="4" t="s">
        <v>167</v>
      </c>
      <c r="C12" s="9" t="n">
        <f aca="false">COUNTIF(cov_sdg,A12)</f>
        <v>12</v>
      </c>
      <c r="D12" s="9" t="n">
        <f aca="false">COUNTIFS(cov_sdg,A12,cov_status,"&lt;&gt;Gap")</f>
        <v>3</v>
      </c>
      <c r="E12" s="9" t="n">
        <f aca="false">COUNTIFS(cov_sdg,A12,cov_status,"Primary link")</f>
        <v>0</v>
      </c>
      <c r="F12" s="9" t="n">
        <f aca="false">COUNTIFS(cov_sdg,A12,cov_status,"Secondary only")</f>
        <v>3</v>
      </c>
      <c r="G12" s="9" t="n">
        <f aca="false">COUNTIFS(cov_sdg,A12,cov_status,"Gap")</f>
        <v>9</v>
      </c>
      <c r="H12" s="64" t="n">
        <f aca="false">IF(C12=0,0,D12/C12)</f>
        <v>0.25</v>
      </c>
      <c r="I12" s="9" t="n">
        <f aca="false">COUNTIFS(cov_sdg,A12,cov_status,"Gap",cov_type,"Outcome")</f>
        <v>7</v>
      </c>
      <c r="J12" s="9" t="n">
        <f aca="false">COUNTIF(tl_sdg,A12)</f>
        <v>6</v>
      </c>
      <c r="K12" s="9" t="n">
        <f aca="false">COUNTIF('SDG matrix'!J3:J12,"?*")</f>
        <v>5</v>
      </c>
      <c r="L12" s="5" t="str">
        <f aca="false">_xlfn.TEXTJOIN(", ",TRUE(),IF(SUMPRODUCT((tl_sdg=$A12)*(tl_principle="PP1"))&gt;0,"PP1",""),IF(SUMPRODUCT((tl_sdg=$A12)*(tl_principle="PP2"))&gt;0,"PP2",""),IF(SUMPRODUCT((tl_sdg=$A12)*(tl_principle="PP3"))&gt;0,"PP3",""),IF(SUMPRODUCT((tl_sdg=$A12)*(tl_principle="PP4"))&gt;0,"PP4",""))</f>
        <v>PP1, PP2, PP3, PP4</v>
      </c>
      <c r="M12" s="65"/>
      <c r="N12" s="66"/>
    </row>
    <row r="13" customFormat="false" ht="23.85" hidden="false" customHeight="false" outlineLevel="0" collapsed="false">
      <c r="A13" s="12" t="n">
        <v>9</v>
      </c>
      <c r="B13" s="4" t="s">
        <v>153</v>
      </c>
      <c r="C13" s="9" t="n">
        <f aca="false">COUNTIF(cov_sdg,A13)</f>
        <v>8</v>
      </c>
      <c r="D13" s="9" t="n">
        <f aca="false">COUNTIFS(cov_sdg,A13,cov_status,"&lt;&gt;Gap")</f>
        <v>4</v>
      </c>
      <c r="E13" s="9" t="n">
        <f aca="false">COUNTIFS(cov_sdg,A13,cov_status,"Primary link")</f>
        <v>4</v>
      </c>
      <c r="F13" s="9" t="n">
        <f aca="false">COUNTIFS(cov_sdg,A13,cov_status,"Secondary only")</f>
        <v>0</v>
      </c>
      <c r="G13" s="9" t="n">
        <f aca="false">COUNTIFS(cov_sdg,A13,cov_status,"Gap")</f>
        <v>4</v>
      </c>
      <c r="H13" s="64" t="n">
        <f aca="false">IF(C13=0,0,D13/C13)</f>
        <v>0.5</v>
      </c>
      <c r="I13" s="9" t="n">
        <f aca="false">COUNTIFS(cov_sdg,A13,cov_status,"Gap",cov_type,"Outcome")</f>
        <v>2</v>
      </c>
      <c r="J13" s="9" t="n">
        <f aca="false">COUNTIF(tl_sdg,A13)</f>
        <v>10</v>
      </c>
      <c r="K13" s="9" t="n">
        <f aca="false">COUNTIF('SDG matrix'!K3:K12,"?*")</f>
        <v>7</v>
      </c>
      <c r="L13" s="5" t="str">
        <f aca="false">_xlfn.TEXTJOIN(", ",TRUE(),IF(SUMPRODUCT((tl_sdg=$A13)*(tl_principle="PP1"))&gt;0,"PP1",""),IF(SUMPRODUCT((tl_sdg=$A13)*(tl_principle="PP2"))&gt;0,"PP2",""),IF(SUMPRODUCT((tl_sdg=$A13)*(tl_principle="PP3"))&gt;0,"PP3",""),IF(SUMPRODUCT((tl_sdg=$A13)*(tl_principle="PP4"))&gt;0,"PP4",""))</f>
        <v>PP1, PP2, PP3</v>
      </c>
      <c r="M13" s="65"/>
      <c r="N13" s="66"/>
    </row>
    <row r="14" customFormat="false" ht="15" hidden="false" customHeight="false" outlineLevel="0" collapsed="false">
      <c r="A14" s="24" t="n">
        <v>10</v>
      </c>
      <c r="B14" s="4" t="s">
        <v>310</v>
      </c>
      <c r="C14" s="9" t="n">
        <f aca="false">COUNTIF(cov_sdg,A14)</f>
        <v>10</v>
      </c>
      <c r="D14" s="9" t="n">
        <f aca="false">COUNTIFS(cov_sdg,A14,cov_status,"&lt;&gt;Gap")</f>
        <v>1</v>
      </c>
      <c r="E14" s="9" t="n">
        <f aca="false">COUNTIFS(cov_sdg,A14,cov_status,"Primary link")</f>
        <v>1</v>
      </c>
      <c r="F14" s="9" t="n">
        <f aca="false">COUNTIFS(cov_sdg,A14,cov_status,"Secondary only")</f>
        <v>0</v>
      </c>
      <c r="G14" s="9" t="n">
        <f aca="false">COUNTIFS(cov_sdg,A14,cov_status,"Gap")</f>
        <v>9</v>
      </c>
      <c r="H14" s="64" t="n">
        <f aca="false">IF(C14=0,0,D14/C14)</f>
        <v>0.1</v>
      </c>
      <c r="I14" s="9" t="n">
        <f aca="false">COUNTIFS(cov_sdg,A14,cov_status,"Gap",cov_type,"Outcome")</f>
        <v>6</v>
      </c>
      <c r="J14" s="9" t="n">
        <f aca="false">COUNTIF(tl_sdg,A14)</f>
        <v>4</v>
      </c>
      <c r="K14" s="9" t="n">
        <f aca="false">COUNTIF('SDG matrix'!L3:L12,"?*")</f>
        <v>4</v>
      </c>
      <c r="L14" s="5" t="str">
        <f aca="false">_xlfn.TEXTJOIN(", ",TRUE(),IF(SUMPRODUCT((tl_sdg=$A14)*(tl_principle="PP1"))&gt;0,"PP1",""),IF(SUMPRODUCT((tl_sdg=$A14)*(tl_principle="PP2"))&gt;0,"PP2",""),IF(SUMPRODUCT((tl_sdg=$A14)*(tl_principle="PP3"))&gt;0,"PP3",""),IF(SUMPRODUCT((tl_sdg=$A14)*(tl_principle="PP4"))&gt;0,"PP4",""))</f>
        <v>PP3, PP4</v>
      </c>
      <c r="M14" s="65"/>
      <c r="N14" s="66"/>
    </row>
    <row r="15" customFormat="false" ht="23.85" hidden="false" customHeight="false" outlineLevel="0" collapsed="false">
      <c r="A15" s="16" t="n">
        <v>11</v>
      </c>
      <c r="B15" s="4" t="s">
        <v>174</v>
      </c>
      <c r="C15" s="9" t="n">
        <f aca="false">COUNTIF(cov_sdg,A15)</f>
        <v>10</v>
      </c>
      <c r="D15" s="9" t="n">
        <f aca="false">COUNTIFS(cov_sdg,A15,cov_status,"&lt;&gt;Gap")</f>
        <v>7</v>
      </c>
      <c r="E15" s="9" t="n">
        <f aca="false">COUNTIFS(cov_sdg,A15,cov_status,"Primary link")</f>
        <v>4</v>
      </c>
      <c r="F15" s="9" t="n">
        <f aca="false">COUNTIFS(cov_sdg,A15,cov_status,"Secondary only")</f>
        <v>3</v>
      </c>
      <c r="G15" s="9" t="n">
        <f aca="false">COUNTIFS(cov_sdg,A15,cov_status,"Gap")</f>
        <v>3</v>
      </c>
      <c r="H15" s="64" t="n">
        <f aca="false">IF(C15=0,0,D15/C15)</f>
        <v>0.7</v>
      </c>
      <c r="I15" s="9" t="n">
        <f aca="false">COUNTIFS(cov_sdg,A15,cov_status,"Gap",cov_type,"Outcome")</f>
        <v>2</v>
      </c>
      <c r="J15" s="9" t="n">
        <f aca="false">COUNTIF(tl_sdg,A15)</f>
        <v>12</v>
      </c>
      <c r="K15" s="9" t="n">
        <f aca="false">COUNTIF('SDG matrix'!M3:M12,"?*")</f>
        <v>7</v>
      </c>
      <c r="L15" s="5" t="str">
        <f aca="false">_xlfn.TEXTJOIN(", ",TRUE(),IF(SUMPRODUCT((tl_sdg=$A15)*(tl_principle="PP1"))&gt;0,"PP1",""),IF(SUMPRODUCT((tl_sdg=$A15)*(tl_principle="PP2"))&gt;0,"PP2",""),IF(SUMPRODUCT((tl_sdg=$A15)*(tl_principle="PP3"))&gt;0,"PP3",""),IF(SUMPRODUCT((tl_sdg=$A15)*(tl_principle="PP4"))&gt;0,"PP4",""))</f>
        <v>PP1, PP2, PP3, PP4</v>
      </c>
      <c r="M15" s="65"/>
      <c r="N15" s="66"/>
    </row>
    <row r="16" customFormat="false" ht="23.85" hidden="false" customHeight="false" outlineLevel="0" collapsed="false">
      <c r="A16" s="17" t="n">
        <v>12</v>
      </c>
      <c r="B16" s="4" t="s">
        <v>180</v>
      </c>
      <c r="C16" s="9" t="n">
        <f aca="false">COUNTIF(cov_sdg,A16)</f>
        <v>11</v>
      </c>
      <c r="D16" s="9" t="n">
        <f aca="false">COUNTIFS(cov_sdg,A16,cov_status,"&lt;&gt;Gap")</f>
        <v>2</v>
      </c>
      <c r="E16" s="9" t="n">
        <f aca="false">COUNTIFS(cov_sdg,A16,cov_status,"Primary link")</f>
        <v>2</v>
      </c>
      <c r="F16" s="9" t="n">
        <f aca="false">COUNTIFS(cov_sdg,A16,cov_status,"Secondary only")</f>
        <v>0</v>
      </c>
      <c r="G16" s="9" t="n">
        <f aca="false">COUNTIFS(cov_sdg,A16,cov_status,"Gap")</f>
        <v>9</v>
      </c>
      <c r="H16" s="64" t="n">
        <f aca="false">IF(C16=0,0,D16/C16)</f>
        <v>0.181818181818182</v>
      </c>
      <c r="I16" s="9" t="n">
        <f aca="false">COUNTIFS(cov_sdg,A16,cov_status,"Gap",cov_type,"Outcome")</f>
        <v>6</v>
      </c>
      <c r="J16" s="9" t="n">
        <f aca="false">COUNTIF(tl_sdg,A16)</f>
        <v>5</v>
      </c>
      <c r="K16" s="9" t="n">
        <f aca="false">COUNTIF('SDG matrix'!N3:N12,"?*")</f>
        <v>4</v>
      </c>
      <c r="L16" s="5" t="str">
        <f aca="false">_xlfn.TEXTJOIN(", ",TRUE(),IF(SUMPRODUCT((tl_sdg=$A16)*(tl_principle="PP1"))&gt;0,"PP1",""),IF(SUMPRODUCT((tl_sdg=$A16)*(tl_principle="PP2"))&gt;0,"PP2",""),IF(SUMPRODUCT((tl_sdg=$A16)*(tl_principle="PP3"))&gt;0,"PP3",""),IF(SUMPRODUCT((tl_sdg=$A16)*(tl_principle="PP4"))&gt;0,"PP4",""))</f>
        <v>PP1, PP2, PP3</v>
      </c>
      <c r="M16" s="65"/>
      <c r="N16" s="66"/>
    </row>
    <row r="17" customFormat="false" ht="15" hidden="false" customHeight="false" outlineLevel="0" collapsed="false">
      <c r="A17" s="20" t="n">
        <v>13</v>
      </c>
      <c r="B17" s="4" t="s">
        <v>210</v>
      </c>
      <c r="C17" s="9" t="n">
        <f aca="false">COUNTIF(cov_sdg,A17)</f>
        <v>5</v>
      </c>
      <c r="D17" s="9" t="n">
        <f aca="false">COUNTIFS(cov_sdg,A17,cov_status,"&lt;&gt;Gap")</f>
        <v>2</v>
      </c>
      <c r="E17" s="9" t="n">
        <f aca="false">COUNTIFS(cov_sdg,A17,cov_status,"Primary link")</f>
        <v>2</v>
      </c>
      <c r="F17" s="9" t="n">
        <f aca="false">COUNTIFS(cov_sdg,A17,cov_status,"Secondary only")</f>
        <v>0</v>
      </c>
      <c r="G17" s="9" t="n">
        <f aca="false">COUNTIFS(cov_sdg,A17,cov_status,"Gap")</f>
        <v>3</v>
      </c>
      <c r="H17" s="64" t="n">
        <f aca="false">IF(C17=0,0,D17/C17)</f>
        <v>0.4</v>
      </c>
      <c r="I17" s="9" t="n">
        <f aca="false">COUNTIFS(cov_sdg,A17,cov_status,"Gap",cov_type,"Outcome")</f>
        <v>1</v>
      </c>
      <c r="J17" s="9" t="n">
        <f aca="false">COUNTIF(tl_sdg,A17)</f>
        <v>4</v>
      </c>
      <c r="K17" s="9" t="n">
        <f aca="false">COUNTIF('SDG matrix'!O3:O12,"?*")</f>
        <v>3</v>
      </c>
      <c r="L17" s="5" t="str">
        <f aca="false">_xlfn.TEXTJOIN(", ",TRUE(),IF(SUMPRODUCT((tl_sdg=$A17)*(tl_principle="PP1"))&gt;0,"PP1",""),IF(SUMPRODUCT((tl_sdg=$A17)*(tl_principle="PP2"))&gt;0,"PP2",""),IF(SUMPRODUCT((tl_sdg=$A17)*(tl_principle="PP3"))&gt;0,"PP3",""),IF(SUMPRODUCT((tl_sdg=$A17)*(tl_principle="PP4"))&gt;0,"PP4",""))</f>
        <v>PP2</v>
      </c>
      <c r="M17" s="65"/>
      <c r="N17" s="66"/>
    </row>
    <row r="18" customFormat="false" ht="15" hidden="false" customHeight="false" outlineLevel="0" collapsed="false">
      <c r="A18" s="58" t="n">
        <v>14</v>
      </c>
      <c r="B18" s="4" t="s">
        <v>563</v>
      </c>
      <c r="C18" s="9" t="n">
        <f aca="false">COUNTIF(cov_sdg,A18)</f>
        <v>10</v>
      </c>
      <c r="D18" s="9" t="n">
        <f aca="false">COUNTIFS(cov_sdg,A18,cov_status,"&lt;&gt;Gap")</f>
        <v>0</v>
      </c>
      <c r="E18" s="9" t="n">
        <f aca="false">COUNTIFS(cov_sdg,A18,cov_status,"Primary link")</f>
        <v>0</v>
      </c>
      <c r="F18" s="9" t="n">
        <f aca="false">COUNTIFS(cov_sdg,A18,cov_status,"Secondary only")</f>
        <v>0</v>
      </c>
      <c r="G18" s="9" t="n">
        <f aca="false">COUNTIFS(cov_sdg,A18,cov_status,"Gap")</f>
        <v>10</v>
      </c>
      <c r="H18" s="64" t="n">
        <f aca="false">IF(C18=0,0,D18/C18)</f>
        <v>0</v>
      </c>
      <c r="I18" s="9" t="n">
        <f aca="false">COUNTIFS(cov_sdg,A18,cov_status,"Gap",cov_type,"Outcome")</f>
        <v>7</v>
      </c>
      <c r="J18" s="9" t="n">
        <f aca="false">COUNTIF(tl_sdg,A18)</f>
        <v>0</v>
      </c>
      <c r="K18" s="9" t="n">
        <f aca="false">COUNTIF('SDG matrix'!P3:P12,"?*")</f>
        <v>0</v>
      </c>
      <c r="L18" s="5" t="str">
        <f aca="false">_xlfn.TEXTJOIN(", ",TRUE(),IF(SUMPRODUCT((tl_sdg=$A18)*(tl_principle="PP1"))&gt;0,"PP1",""),IF(SUMPRODUCT((tl_sdg=$A18)*(tl_principle="PP2"))&gt;0,"PP2",""),IF(SUMPRODUCT((tl_sdg=$A18)*(tl_principle="PP3"))&gt;0,"PP3",""),IF(SUMPRODUCT((tl_sdg=$A18)*(tl_principle="PP4"))&gt;0,"PP4",""))</f>
        <v/>
      </c>
      <c r="M18" s="65"/>
      <c r="N18" s="66"/>
    </row>
    <row r="19" customFormat="false" ht="15" hidden="false" customHeight="false" outlineLevel="0" collapsed="false">
      <c r="A19" s="59" t="n">
        <v>15</v>
      </c>
      <c r="B19" s="4" t="s">
        <v>566</v>
      </c>
      <c r="C19" s="9" t="n">
        <f aca="false">COUNTIF(cov_sdg,A19)</f>
        <v>12</v>
      </c>
      <c r="D19" s="9" t="n">
        <f aca="false">COUNTIFS(cov_sdg,A19,cov_status,"&lt;&gt;Gap")</f>
        <v>0</v>
      </c>
      <c r="E19" s="9" t="n">
        <f aca="false">COUNTIFS(cov_sdg,A19,cov_status,"Primary link")</f>
        <v>0</v>
      </c>
      <c r="F19" s="9" t="n">
        <f aca="false">COUNTIFS(cov_sdg,A19,cov_status,"Secondary only")</f>
        <v>0</v>
      </c>
      <c r="G19" s="9" t="n">
        <f aca="false">COUNTIFS(cov_sdg,A19,cov_status,"Gap")</f>
        <v>12</v>
      </c>
      <c r="H19" s="64" t="n">
        <f aca="false">IF(C19=0,0,D19/C19)</f>
        <v>0</v>
      </c>
      <c r="I19" s="9" t="n">
        <f aca="false">COUNTIFS(cov_sdg,A19,cov_status,"Gap",cov_type,"Outcome")</f>
        <v>9</v>
      </c>
      <c r="J19" s="9" t="n">
        <f aca="false">COUNTIF(tl_sdg,A19)</f>
        <v>0</v>
      </c>
      <c r="K19" s="9" t="n">
        <f aca="false">COUNTIF('SDG matrix'!Q3:Q12,"?*")</f>
        <v>0</v>
      </c>
      <c r="L19" s="5" t="str">
        <f aca="false">_xlfn.TEXTJOIN(", ",TRUE(),IF(SUMPRODUCT((tl_sdg=$A19)*(tl_principle="PP1"))&gt;0,"PP1",""),IF(SUMPRODUCT((tl_sdg=$A19)*(tl_principle="PP2"))&gt;0,"PP2",""),IF(SUMPRODUCT((tl_sdg=$A19)*(tl_principle="PP3"))&gt;0,"PP3",""),IF(SUMPRODUCT((tl_sdg=$A19)*(tl_principle="PP4"))&gt;0,"PP4",""))</f>
        <v/>
      </c>
      <c r="M19" s="65"/>
      <c r="N19" s="66"/>
    </row>
    <row r="20" customFormat="false" ht="23.85" hidden="false" customHeight="false" outlineLevel="0" collapsed="false">
      <c r="A20" s="18" t="n">
        <v>16</v>
      </c>
      <c r="B20" s="4" t="s">
        <v>193</v>
      </c>
      <c r="C20" s="9" t="n">
        <f aca="false">COUNTIF(cov_sdg,A20)</f>
        <v>12</v>
      </c>
      <c r="D20" s="9" t="n">
        <f aca="false">COUNTIFS(cov_sdg,A20,cov_status,"&lt;&gt;Gap")</f>
        <v>3</v>
      </c>
      <c r="E20" s="9" t="n">
        <f aca="false">COUNTIFS(cov_sdg,A20,cov_status,"Primary link")</f>
        <v>2</v>
      </c>
      <c r="F20" s="9" t="n">
        <f aca="false">COUNTIFS(cov_sdg,A20,cov_status,"Secondary only")</f>
        <v>1</v>
      </c>
      <c r="G20" s="9" t="n">
        <f aca="false">COUNTIFS(cov_sdg,A20,cov_status,"Gap")</f>
        <v>9</v>
      </c>
      <c r="H20" s="64" t="n">
        <f aca="false">IF(C20=0,0,D20/C20)</f>
        <v>0.25</v>
      </c>
      <c r="I20" s="9" t="n">
        <f aca="false">COUNTIFS(cov_sdg,A20,cov_status,"Gap",cov_type,"Outcome")</f>
        <v>7</v>
      </c>
      <c r="J20" s="9" t="n">
        <f aca="false">COUNTIF(tl_sdg,A20)</f>
        <v>8</v>
      </c>
      <c r="K20" s="9" t="n">
        <f aca="false">COUNTIF('SDG matrix'!R3:R12,"?*")</f>
        <v>5</v>
      </c>
      <c r="L20" s="5" t="str">
        <f aca="false">_xlfn.TEXTJOIN(", ",TRUE(),IF(SUMPRODUCT((tl_sdg=$A20)*(tl_principle="PP1"))&gt;0,"PP1",""),IF(SUMPRODUCT((tl_sdg=$A20)*(tl_principle="PP2"))&gt;0,"PP2",""),IF(SUMPRODUCT((tl_sdg=$A20)*(tl_principle="PP3"))&gt;0,"PP3",""),IF(SUMPRODUCT((tl_sdg=$A20)*(tl_principle="PP4"))&gt;0,"PP4",""))</f>
        <v>PP1, PP3, PP4</v>
      </c>
      <c r="M20" s="65"/>
      <c r="N20" s="66"/>
    </row>
    <row r="21" customFormat="false" ht="15" hidden="false" customHeight="false" outlineLevel="0" collapsed="false">
      <c r="A21" s="19" t="n">
        <v>17</v>
      </c>
      <c r="B21" s="4" t="s">
        <v>203</v>
      </c>
      <c r="C21" s="9" t="n">
        <f aca="false">COUNTIF(cov_sdg,A21)</f>
        <v>19</v>
      </c>
      <c r="D21" s="9" t="n">
        <f aca="false">COUNTIFS(cov_sdg,A21,cov_status,"&lt;&gt;Gap")</f>
        <v>7</v>
      </c>
      <c r="E21" s="9" t="n">
        <f aca="false">COUNTIFS(cov_sdg,A21,cov_status,"Primary link")</f>
        <v>2</v>
      </c>
      <c r="F21" s="9" t="n">
        <f aca="false">COUNTIFS(cov_sdg,A21,cov_status,"Secondary only")</f>
        <v>5</v>
      </c>
      <c r="G21" s="9" t="n">
        <f aca="false">COUNTIFS(cov_sdg,A21,cov_status,"Gap")</f>
        <v>12</v>
      </c>
      <c r="H21" s="64" t="n">
        <f aca="false">IF(C21=0,0,D21/C21)</f>
        <v>0.368421052631579</v>
      </c>
      <c r="I21" s="9" t="n">
        <f aca="false">COUNTIFS(cov_sdg,A21,cov_status,"Gap",cov_type,"Outcome")</f>
        <v>12</v>
      </c>
      <c r="J21" s="9" t="n">
        <f aca="false">COUNTIF(tl_sdg,A21)</f>
        <v>11</v>
      </c>
      <c r="K21" s="9" t="n">
        <f aca="false">COUNTIF('SDG matrix'!S3:S12,"?*")</f>
        <v>5</v>
      </c>
      <c r="L21" s="5" t="str">
        <f aca="false">_xlfn.TEXTJOIN(", ",TRUE(),IF(SUMPRODUCT((tl_sdg=$A21)*(tl_principle="PP1"))&gt;0,"PP1",""),IF(SUMPRODUCT((tl_sdg=$A21)*(tl_principle="PP2"))&gt;0,"PP2",""),IF(SUMPRODUCT((tl_sdg=$A21)*(tl_principle="PP3"))&gt;0,"PP3",""),IF(SUMPRODUCT((tl_sdg=$A21)*(tl_principle="PP4"))&gt;0,"PP4",""))</f>
        <v>PP1, PP2, PP3, PP4</v>
      </c>
      <c r="M21" s="65"/>
      <c r="N21" s="66"/>
    </row>
    <row r="22" customFormat="false" ht="15" hidden="false" customHeight="false" outlineLevel="0" collapsed="false">
      <c r="B22" s="67" t="s">
        <v>587</v>
      </c>
      <c r="C22" s="10" t="n">
        <f aca="false">SUM(C5:C21)</f>
        <v>169</v>
      </c>
      <c r="D22" s="10" t="n">
        <f aca="false">SUM(D5:D21)</f>
        <v>35</v>
      </c>
      <c r="E22" s="10" t="n">
        <f aca="false">SUM(E5:E21)</f>
        <v>17</v>
      </c>
      <c r="F22" s="10" t="n">
        <f aca="false">SUM(F5:F21)</f>
        <v>18</v>
      </c>
      <c r="G22" s="10" t="n">
        <f aca="false">SUM(G5:G21)</f>
        <v>134</v>
      </c>
      <c r="H22" s="68" t="n">
        <f aca="false">IF(C22=0,0,D22/C22)</f>
        <v>0.207100591715976</v>
      </c>
      <c r="I22" s="10" t="n">
        <f aca="false">SUM(I5:I21)</f>
        <v>94</v>
      </c>
      <c r="J22" s="10" t="n">
        <f aca="false">SUM(J5:J21)</f>
        <v>66</v>
      </c>
    </row>
    <row r="23" customFormat="false" ht="15" hidden="false" customHeight="false" outlineLevel="0" collapsed="false">
      <c r="B23" s="69" t="s">
        <v>588</v>
      </c>
      <c r="D23" s="70" t="n">
        <f aca="false">COUNTIF(D5:D21,0)</f>
        <v>5</v>
      </c>
    </row>
  </sheetData>
  <conditionalFormatting sqref="H5:H21">
    <cfRule type="dataBar" priority="2">
      <dataBar showValue="1" minLength="10" maxLength="90">
        <cfvo type="num" val="0"/>
        <cfvo type="num" val="1"/>
        <color rgb="FF5B9BD5"/>
      </dataBar>
      <extLst>
        <ext xmlns:x14="http://schemas.microsoft.com/office/spreadsheetml/2009/9/main" uri="{B025F937-C7B1-47D3-B67F-A62EFF666E3E}">
          <x14:id>{5CDA61EB-E7FB-4F92-A9F8-B7BDF825A9D2}</x14:id>
        </ext>
      </extLst>
    </cfRule>
  </conditionalFormatting>
  <conditionalFormatting sqref="D5:D21">
    <cfRule type="cellIs" priority="3" operator="equal" aboveAverage="0" equalAverage="0" bottom="0" percent="0" rank="0" text="" dxfId="22">
      <formula>0</formula>
    </cfRule>
  </conditionalFormatting>
  <dataValidations count="1">
    <dataValidation allowBlank="true" errorStyle="stop" operator="between" showDropDown="false" showErrorMessage="false" showInputMessage="false" sqref="M5:M2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CDA61EB-E7FB-4F92-A9F8-B7BDF825A9D2}">
            <x14:dataBar minLength="10" maxLength="90" axisPosition="none" gradient="true">
              <x14:cfvo type="num">
                <xm:f>0</xm:f>
              </x14:cfvo>
              <x14:cfvo type="num">
                <xm:f>1</xm:f>
              </x14:cfvo>
              <x14:negativeFillColor rgb="FF5B9BD5"/>
              <x14:axisColor rgb="FF000000"/>
            </x14:dataBar>
          </x14:cfRule>
          <xm:sqref>H5:H21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8"/>
    <col collapsed="false" customWidth="true" hidden="false" outlineLevel="0" max="4" min="4" style="0" width="13"/>
    <col collapsed="false" customWidth="true" hidden="false" outlineLevel="0" max="5" min="5" style="0" width="26"/>
    <col collapsed="false" customWidth="true" hidden="false" outlineLevel="0" max="6" min="6" style="0" width="64"/>
    <col collapsed="false" customWidth="true" hidden="false" outlineLevel="0" max="7" min="7" style="0" width="9"/>
    <col collapsed="false" customWidth="true" hidden="false" outlineLevel="0" max="17" min="8" style="0" width="7"/>
    <col collapsed="false" customWidth="true" hidden="false" outlineLevel="0" max="18" min="18" style="0" width="15"/>
    <col collapsed="false" customWidth="true" hidden="false" outlineLevel="0" max="19" min="19" style="0" width="8"/>
    <col collapsed="false" customWidth="true" hidden="false" outlineLevel="0" max="20" min="20" style="0" width="14"/>
    <col collapsed="false" customWidth="true" hidden="false" outlineLevel="0" max="21" min="21" style="0" width="16"/>
    <col collapsed="false" customWidth="true" hidden="false" outlineLevel="0" max="22" min="22" style="0" width="14"/>
    <col collapsed="false" customWidth="true" hidden="false" outlineLevel="0" max="23" min="23" style="0" width="12"/>
    <col collapsed="false" customWidth="true" hidden="false" outlineLevel="0" max="24" min="24" style="0" width="16"/>
    <col collapsed="false" customWidth="true" hidden="false" outlineLevel="0" max="25" min="25" style="0" width="36"/>
  </cols>
  <sheetData>
    <row r="1" customFormat="false" ht="16.15" hidden="false" customHeight="false" outlineLevel="0" collapsed="false">
      <c r="A1" s="60" t="s">
        <v>589</v>
      </c>
    </row>
    <row r="2" customFormat="false" ht="15" hidden="false" customHeight="false" outlineLevel="0" collapsed="false">
      <c r="A2" s="61" t="s">
        <v>590</v>
      </c>
    </row>
    <row r="3" customFormat="false" ht="27.75" hidden="false" customHeight="true" outlineLevel="0" collapsed="false">
      <c r="H3" s="71" t="s">
        <v>591</v>
      </c>
      <c r="I3" s="71"/>
      <c r="J3" s="72" t="s">
        <v>592</v>
      </c>
      <c r="K3" s="72"/>
      <c r="L3" s="72"/>
      <c r="M3" s="73" t="s">
        <v>593</v>
      </c>
      <c r="N3" s="73"/>
      <c r="O3" s="73"/>
      <c r="P3" s="74" t="s">
        <v>594</v>
      </c>
      <c r="Q3" s="74"/>
      <c r="U3" s="75" t="s">
        <v>595</v>
      </c>
      <c r="V3" s="75"/>
      <c r="W3" s="75"/>
      <c r="X3" s="75"/>
      <c r="Y3" s="75"/>
    </row>
    <row r="4" customFormat="false" ht="54" hidden="false" customHeight="true" outlineLevel="0" collapsed="false">
      <c r="A4" s="7" t="s">
        <v>144</v>
      </c>
      <c r="B4" s="6" t="s">
        <v>575</v>
      </c>
      <c r="C4" s="7" t="s">
        <v>146</v>
      </c>
      <c r="D4" s="6" t="s">
        <v>596</v>
      </c>
      <c r="E4" s="6" t="s">
        <v>147</v>
      </c>
      <c r="F4" s="6" t="s">
        <v>148</v>
      </c>
      <c r="G4" s="7" t="s">
        <v>151</v>
      </c>
      <c r="H4" s="76" t="s">
        <v>53</v>
      </c>
      <c r="I4" s="76" t="s">
        <v>62</v>
      </c>
      <c r="J4" s="76" t="s">
        <v>71</v>
      </c>
      <c r="K4" s="76" t="s">
        <v>80</v>
      </c>
      <c r="L4" s="76" t="s">
        <v>89</v>
      </c>
      <c r="M4" s="76" t="s">
        <v>98</v>
      </c>
      <c r="N4" s="76" t="s">
        <v>107</v>
      </c>
      <c r="O4" s="76" t="s">
        <v>116</v>
      </c>
      <c r="P4" s="76" t="s">
        <v>125</v>
      </c>
      <c r="Q4" s="76" t="s">
        <v>134</v>
      </c>
      <c r="R4" s="7" t="s">
        <v>597</v>
      </c>
      <c r="S4" s="7" t="s">
        <v>31</v>
      </c>
      <c r="T4" s="6" t="s">
        <v>581</v>
      </c>
      <c r="U4" s="63" t="s">
        <v>598</v>
      </c>
      <c r="V4" s="63" t="s">
        <v>599</v>
      </c>
      <c r="W4" s="63" t="s">
        <v>600</v>
      </c>
      <c r="X4" s="63" t="s">
        <v>601</v>
      </c>
      <c r="Y4" s="63" t="s">
        <v>602</v>
      </c>
    </row>
    <row r="5" customFormat="false" ht="23.85" hidden="false" customHeight="false" outlineLevel="0" collapsed="false">
      <c r="A5" s="25" t="n">
        <v>1</v>
      </c>
      <c r="B5" s="5" t="s">
        <v>318</v>
      </c>
      <c r="C5" s="13" t="s">
        <v>603</v>
      </c>
      <c r="D5" s="5" t="s">
        <v>499</v>
      </c>
      <c r="E5" s="5"/>
      <c r="F5" s="5" t="s">
        <v>604</v>
      </c>
      <c r="G5" s="9" t="n">
        <v>1</v>
      </c>
      <c r="H5" s="53" t="str">
        <f aca="false">IF(SUMPRODUCT((tl_target=$C5)*(tl_sub=H$4)*(tl_align="Primary"))&gt;0,"P",IF(SUMPRODUCT((tl_target=$C5)*(tl_sub=H$4))&gt;0,"S",""))</f>
        <v/>
      </c>
      <c r="I5" s="53" t="str">
        <f aca="false">IF(SUMPRODUCT((tl_target=$C5)*(tl_sub=I$4)*(tl_align="Primary"))&gt;0,"P",IF(SUMPRODUCT((tl_target=$C5)*(tl_sub=I$4))&gt;0,"S",""))</f>
        <v/>
      </c>
      <c r="J5" s="53" t="str">
        <f aca="false">IF(SUMPRODUCT((tl_target=$C5)*(tl_sub=J$4)*(tl_align="Primary"))&gt;0,"P",IF(SUMPRODUCT((tl_target=$C5)*(tl_sub=J$4))&gt;0,"S",""))</f>
        <v/>
      </c>
      <c r="K5" s="53" t="str">
        <f aca="false">IF(SUMPRODUCT((tl_target=$C5)*(tl_sub=K$4)*(tl_align="Primary"))&gt;0,"P",IF(SUMPRODUCT((tl_target=$C5)*(tl_sub=K$4))&gt;0,"S",""))</f>
        <v/>
      </c>
      <c r="L5" s="53" t="str">
        <f aca="false">IF(SUMPRODUCT((tl_target=$C5)*(tl_sub=L$4)*(tl_align="Primary"))&gt;0,"P",IF(SUMPRODUCT((tl_target=$C5)*(tl_sub=L$4))&gt;0,"S",""))</f>
        <v/>
      </c>
      <c r="M5" s="53" t="str">
        <f aca="false">IF(SUMPRODUCT((tl_target=$C5)*(tl_sub=M$4)*(tl_align="Primary"))&gt;0,"P",IF(SUMPRODUCT((tl_target=$C5)*(tl_sub=M$4))&gt;0,"S",""))</f>
        <v/>
      </c>
      <c r="N5" s="53" t="str">
        <f aca="false">IF(SUMPRODUCT((tl_target=$C5)*(tl_sub=N$4)*(tl_align="Primary"))&gt;0,"P",IF(SUMPRODUCT((tl_target=$C5)*(tl_sub=N$4))&gt;0,"S",""))</f>
        <v/>
      </c>
      <c r="O5" s="53" t="str">
        <f aca="false">IF(SUMPRODUCT((tl_target=$C5)*(tl_sub=O$4)*(tl_align="Primary"))&gt;0,"P",IF(SUMPRODUCT((tl_target=$C5)*(tl_sub=O$4))&gt;0,"S",""))</f>
        <v/>
      </c>
      <c r="P5" s="53" t="str">
        <f aca="false">IF(SUMPRODUCT((tl_target=$C5)*(tl_sub=P$4)*(tl_align="Primary"))&gt;0,"P",IF(SUMPRODUCT((tl_target=$C5)*(tl_sub=P$4))&gt;0,"S",""))</f>
        <v/>
      </c>
      <c r="Q5" s="53" t="str">
        <f aca="false">IF(SUMPRODUCT((tl_target=$C5)*(tl_sub=Q$4)*(tl_align="Primary"))&gt;0,"P",IF(SUMPRODUCT((tl_target=$C5)*(tl_sub=Q$4))&gt;0,"S",""))</f>
        <v/>
      </c>
      <c r="R5" s="69" t="str">
        <f aca="false">_xlfn.TEXTJOIN(", ",TRUE(),IF(SUMPRODUCT((tl_target=$C5)*(tl_principle="PP1"))&gt;0,"PP1",""),IF(SUMPRODUCT((tl_target=$C5)*(tl_principle="PP2"))&gt;0,"PP2",""),IF(SUMPRODUCT((tl_target=$C5)*(tl_principle="PP3"))&gt;0,"PP3",""),IF(SUMPRODUCT((tl_target=$C5)*(tl_principle="PP4"))&gt;0,"PP4",""))</f>
        <v/>
      </c>
      <c r="S5" s="9" t="n">
        <f aca="false">SUMPRODUCT(--(tl_target=$C5))</f>
        <v>0</v>
      </c>
      <c r="T5" s="53" t="str">
        <f aca="false">IF(SUMPRODUCT((tl_target=$C5)*(tl_align="Primary"))&gt;0,"Primary link",IF(S5&gt;0,"Secondary only","Gap"))</f>
        <v>Gap</v>
      </c>
      <c r="U5" s="66"/>
      <c r="V5" s="66"/>
      <c r="W5" s="66"/>
      <c r="X5" s="66"/>
      <c r="Y5" s="66"/>
    </row>
    <row r="6" customFormat="false" ht="23.85" hidden="false" customHeight="false" outlineLevel="0" collapsed="false">
      <c r="A6" s="25" t="n">
        <v>1</v>
      </c>
      <c r="B6" s="5" t="s">
        <v>318</v>
      </c>
      <c r="C6" s="13" t="s">
        <v>605</v>
      </c>
      <c r="D6" s="5" t="s">
        <v>499</v>
      </c>
      <c r="E6" s="5"/>
      <c r="F6" s="5" t="s">
        <v>606</v>
      </c>
      <c r="G6" s="9" t="n">
        <v>2</v>
      </c>
      <c r="H6" s="53" t="str">
        <f aca="false">IF(SUMPRODUCT((tl_target=$C6)*(tl_sub=H$4)*(tl_align="Primary"))&gt;0,"P",IF(SUMPRODUCT((tl_target=$C6)*(tl_sub=H$4))&gt;0,"S",""))</f>
        <v/>
      </c>
      <c r="I6" s="53" t="str">
        <f aca="false">IF(SUMPRODUCT((tl_target=$C6)*(tl_sub=I$4)*(tl_align="Primary"))&gt;0,"P",IF(SUMPRODUCT((tl_target=$C6)*(tl_sub=I$4))&gt;0,"S",""))</f>
        <v/>
      </c>
      <c r="J6" s="53" t="str">
        <f aca="false">IF(SUMPRODUCT((tl_target=$C6)*(tl_sub=J$4)*(tl_align="Primary"))&gt;0,"P",IF(SUMPRODUCT((tl_target=$C6)*(tl_sub=J$4))&gt;0,"S",""))</f>
        <v/>
      </c>
      <c r="K6" s="53" t="str">
        <f aca="false">IF(SUMPRODUCT((tl_target=$C6)*(tl_sub=K$4)*(tl_align="Primary"))&gt;0,"P",IF(SUMPRODUCT((tl_target=$C6)*(tl_sub=K$4))&gt;0,"S",""))</f>
        <v/>
      </c>
      <c r="L6" s="53" t="str">
        <f aca="false">IF(SUMPRODUCT((tl_target=$C6)*(tl_sub=L$4)*(tl_align="Primary"))&gt;0,"P",IF(SUMPRODUCT((tl_target=$C6)*(tl_sub=L$4))&gt;0,"S",""))</f>
        <v/>
      </c>
      <c r="M6" s="53" t="str">
        <f aca="false">IF(SUMPRODUCT((tl_target=$C6)*(tl_sub=M$4)*(tl_align="Primary"))&gt;0,"P",IF(SUMPRODUCT((tl_target=$C6)*(tl_sub=M$4))&gt;0,"S",""))</f>
        <v/>
      </c>
      <c r="N6" s="53" t="str">
        <f aca="false">IF(SUMPRODUCT((tl_target=$C6)*(tl_sub=N$4)*(tl_align="Primary"))&gt;0,"P",IF(SUMPRODUCT((tl_target=$C6)*(tl_sub=N$4))&gt;0,"S",""))</f>
        <v/>
      </c>
      <c r="O6" s="53" t="str">
        <f aca="false">IF(SUMPRODUCT((tl_target=$C6)*(tl_sub=O$4)*(tl_align="Primary"))&gt;0,"P",IF(SUMPRODUCT((tl_target=$C6)*(tl_sub=O$4))&gt;0,"S",""))</f>
        <v/>
      </c>
      <c r="P6" s="53" t="str">
        <f aca="false">IF(SUMPRODUCT((tl_target=$C6)*(tl_sub=P$4)*(tl_align="Primary"))&gt;0,"P",IF(SUMPRODUCT((tl_target=$C6)*(tl_sub=P$4))&gt;0,"S",""))</f>
        <v/>
      </c>
      <c r="Q6" s="53" t="str">
        <f aca="false">IF(SUMPRODUCT((tl_target=$C6)*(tl_sub=Q$4)*(tl_align="Primary"))&gt;0,"P",IF(SUMPRODUCT((tl_target=$C6)*(tl_sub=Q$4))&gt;0,"S",""))</f>
        <v/>
      </c>
      <c r="R6" s="69" t="str">
        <f aca="false">_xlfn.TEXTJOIN(", ",TRUE(),IF(SUMPRODUCT((tl_target=$C6)*(tl_principle="PP1"))&gt;0,"PP1",""),IF(SUMPRODUCT((tl_target=$C6)*(tl_principle="PP2"))&gt;0,"PP2",""),IF(SUMPRODUCT((tl_target=$C6)*(tl_principle="PP3"))&gt;0,"PP3",""),IF(SUMPRODUCT((tl_target=$C6)*(tl_principle="PP4"))&gt;0,"PP4",""))</f>
        <v/>
      </c>
      <c r="S6" s="9" t="n">
        <f aca="false">SUMPRODUCT(--(tl_target=$C6))</f>
        <v>0</v>
      </c>
      <c r="T6" s="53" t="str">
        <f aca="false">IF(SUMPRODUCT((tl_target=$C6)*(tl_align="Primary"))&gt;0,"Primary link",IF(S6&gt;0,"Secondary only","Gap"))</f>
        <v>Gap</v>
      </c>
      <c r="U6" s="66"/>
      <c r="V6" s="66"/>
      <c r="W6" s="66"/>
      <c r="X6" s="66"/>
      <c r="Y6" s="66"/>
    </row>
    <row r="7" customFormat="false" ht="35.05" hidden="false" customHeight="false" outlineLevel="0" collapsed="false">
      <c r="A7" s="25" t="n">
        <v>1</v>
      </c>
      <c r="B7" s="5" t="s">
        <v>318</v>
      </c>
      <c r="C7" s="13" t="s">
        <v>607</v>
      </c>
      <c r="D7" s="5" t="s">
        <v>499</v>
      </c>
      <c r="E7" s="5"/>
      <c r="F7" s="5" t="s">
        <v>608</v>
      </c>
      <c r="G7" s="9" t="n">
        <v>1</v>
      </c>
      <c r="H7" s="53" t="str">
        <f aca="false">IF(SUMPRODUCT((tl_target=$C7)*(tl_sub=H$4)*(tl_align="Primary"))&gt;0,"P",IF(SUMPRODUCT((tl_target=$C7)*(tl_sub=H$4))&gt;0,"S",""))</f>
        <v/>
      </c>
      <c r="I7" s="53" t="str">
        <f aca="false">IF(SUMPRODUCT((tl_target=$C7)*(tl_sub=I$4)*(tl_align="Primary"))&gt;0,"P",IF(SUMPRODUCT((tl_target=$C7)*(tl_sub=I$4))&gt;0,"S",""))</f>
        <v/>
      </c>
      <c r="J7" s="53" t="str">
        <f aca="false">IF(SUMPRODUCT((tl_target=$C7)*(tl_sub=J$4)*(tl_align="Primary"))&gt;0,"P",IF(SUMPRODUCT((tl_target=$C7)*(tl_sub=J$4))&gt;0,"S",""))</f>
        <v/>
      </c>
      <c r="K7" s="53" t="str">
        <f aca="false">IF(SUMPRODUCT((tl_target=$C7)*(tl_sub=K$4)*(tl_align="Primary"))&gt;0,"P",IF(SUMPRODUCT((tl_target=$C7)*(tl_sub=K$4))&gt;0,"S",""))</f>
        <v/>
      </c>
      <c r="L7" s="53" t="str">
        <f aca="false">IF(SUMPRODUCT((tl_target=$C7)*(tl_sub=L$4)*(tl_align="Primary"))&gt;0,"P",IF(SUMPRODUCT((tl_target=$C7)*(tl_sub=L$4))&gt;0,"S",""))</f>
        <v/>
      </c>
      <c r="M7" s="53" t="str">
        <f aca="false">IF(SUMPRODUCT((tl_target=$C7)*(tl_sub=M$4)*(tl_align="Primary"))&gt;0,"P",IF(SUMPRODUCT((tl_target=$C7)*(tl_sub=M$4))&gt;0,"S",""))</f>
        <v/>
      </c>
      <c r="N7" s="53" t="str">
        <f aca="false">IF(SUMPRODUCT((tl_target=$C7)*(tl_sub=N$4)*(tl_align="Primary"))&gt;0,"P",IF(SUMPRODUCT((tl_target=$C7)*(tl_sub=N$4))&gt;0,"S",""))</f>
        <v/>
      </c>
      <c r="O7" s="53" t="str">
        <f aca="false">IF(SUMPRODUCT((tl_target=$C7)*(tl_sub=O$4)*(tl_align="Primary"))&gt;0,"P",IF(SUMPRODUCT((tl_target=$C7)*(tl_sub=O$4))&gt;0,"S",""))</f>
        <v/>
      </c>
      <c r="P7" s="53" t="str">
        <f aca="false">IF(SUMPRODUCT((tl_target=$C7)*(tl_sub=P$4)*(tl_align="Primary"))&gt;0,"P",IF(SUMPRODUCT((tl_target=$C7)*(tl_sub=P$4))&gt;0,"S",""))</f>
        <v/>
      </c>
      <c r="Q7" s="53" t="str">
        <f aca="false">IF(SUMPRODUCT((tl_target=$C7)*(tl_sub=Q$4)*(tl_align="Primary"))&gt;0,"P",IF(SUMPRODUCT((tl_target=$C7)*(tl_sub=Q$4))&gt;0,"S",""))</f>
        <v/>
      </c>
      <c r="R7" s="69" t="str">
        <f aca="false">_xlfn.TEXTJOIN(", ",TRUE(),IF(SUMPRODUCT((tl_target=$C7)*(tl_principle="PP1"))&gt;0,"PP1",""),IF(SUMPRODUCT((tl_target=$C7)*(tl_principle="PP2"))&gt;0,"PP2",""),IF(SUMPRODUCT((tl_target=$C7)*(tl_principle="PP3"))&gt;0,"PP3",""),IF(SUMPRODUCT((tl_target=$C7)*(tl_principle="PP4"))&gt;0,"PP4",""))</f>
        <v/>
      </c>
      <c r="S7" s="9" t="n">
        <f aca="false">SUMPRODUCT(--(tl_target=$C7))</f>
        <v>0</v>
      </c>
      <c r="T7" s="53" t="str">
        <f aca="false">IF(SUMPRODUCT((tl_target=$C7)*(tl_align="Primary"))&gt;0,"Primary link",IF(S7&gt;0,"Secondary only","Gap"))</f>
        <v>Gap</v>
      </c>
      <c r="U7" s="66"/>
      <c r="V7" s="66"/>
      <c r="W7" s="66"/>
      <c r="X7" s="66"/>
      <c r="Y7" s="66"/>
    </row>
    <row r="8" customFormat="false" ht="57.45" hidden="false" customHeight="false" outlineLevel="0" collapsed="false">
      <c r="A8" s="25" t="n">
        <v>1</v>
      </c>
      <c r="B8" s="5" t="s">
        <v>318</v>
      </c>
      <c r="C8" s="13" t="s">
        <v>319</v>
      </c>
      <c r="D8" s="5" t="s">
        <v>499</v>
      </c>
      <c r="E8" s="5" t="s">
        <v>320</v>
      </c>
      <c r="F8" s="5" t="s">
        <v>321</v>
      </c>
      <c r="G8" s="9" t="n">
        <v>2</v>
      </c>
      <c r="H8" s="53" t="str">
        <f aca="false">IF(SUMPRODUCT((tl_target=$C8)*(tl_sub=H$4)*(tl_align="Primary"))&gt;0,"P",IF(SUMPRODUCT((tl_target=$C8)*(tl_sub=H$4))&gt;0,"S",""))</f>
        <v/>
      </c>
      <c r="I8" s="53" t="str">
        <f aca="false">IF(SUMPRODUCT((tl_target=$C8)*(tl_sub=I$4)*(tl_align="Primary"))&gt;0,"P",IF(SUMPRODUCT((tl_target=$C8)*(tl_sub=I$4))&gt;0,"S",""))</f>
        <v/>
      </c>
      <c r="J8" s="53" t="str">
        <f aca="false">IF(SUMPRODUCT((tl_target=$C8)*(tl_sub=J$4)*(tl_align="Primary"))&gt;0,"P",IF(SUMPRODUCT((tl_target=$C8)*(tl_sub=J$4))&gt;0,"S",""))</f>
        <v/>
      </c>
      <c r="K8" s="53" t="str">
        <f aca="false">IF(SUMPRODUCT((tl_target=$C8)*(tl_sub=K$4)*(tl_align="Primary"))&gt;0,"P",IF(SUMPRODUCT((tl_target=$C8)*(tl_sub=K$4))&gt;0,"S",""))</f>
        <v/>
      </c>
      <c r="L8" s="53" t="str">
        <f aca="false">IF(SUMPRODUCT((tl_target=$C8)*(tl_sub=L$4)*(tl_align="Primary"))&gt;0,"P",IF(SUMPRODUCT((tl_target=$C8)*(tl_sub=L$4))&gt;0,"S",""))</f>
        <v/>
      </c>
      <c r="M8" s="53" t="str">
        <f aca="false">IF(SUMPRODUCT((tl_target=$C8)*(tl_sub=M$4)*(tl_align="Primary"))&gt;0,"P",IF(SUMPRODUCT((tl_target=$C8)*(tl_sub=M$4))&gt;0,"S",""))</f>
        <v/>
      </c>
      <c r="N8" s="53" t="str">
        <f aca="false">IF(SUMPRODUCT((tl_target=$C8)*(tl_sub=N$4)*(tl_align="Primary"))&gt;0,"P",IF(SUMPRODUCT((tl_target=$C8)*(tl_sub=N$4))&gt;0,"S",""))</f>
        <v>S</v>
      </c>
      <c r="O8" s="53" t="str">
        <f aca="false">IF(SUMPRODUCT((tl_target=$C8)*(tl_sub=O$4)*(tl_align="Primary"))&gt;0,"P",IF(SUMPRODUCT((tl_target=$C8)*(tl_sub=O$4))&gt;0,"S",""))</f>
        <v/>
      </c>
      <c r="P8" s="53" t="str">
        <f aca="false">IF(SUMPRODUCT((tl_target=$C8)*(tl_sub=P$4)*(tl_align="Primary"))&gt;0,"P",IF(SUMPRODUCT((tl_target=$C8)*(tl_sub=P$4))&gt;0,"S",""))</f>
        <v/>
      </c>
      <c r="Q8" s="53" t="str">
        <f aca="false">IF(SUMPRODUCT((tl_target=$C8)*(tl_sub=Q$4)*(tl_align="Primary"))&gt;0,"P",IF(SUMPRODUCT((tl_target=$C8)*(tl_sub=Q$4))&gt;0,"S",""))</f>
        <v/>
      </c>
      <c r="R8" s="69" t="str">
        <f aca="false">_xlfn.TEXTJOIN(", ",TRUE(),IF(SUMPRODUCT((tl_target=$C8)*(tl_principle="PP1"))&gt;0,"PP1",""),IF(SUMPRODUCT((tl_target=$C8)*(tl_principle="PP2"))&gt;0,"PP2",""),IF(SUMPRODUCT((tl_target=$C8)*(tl_principle="PP3"))&gt;0,"PP3",""),IF(SUMPRODUCT((tl_target=$C8)*(tl_principle="PP4"))&gt;0,"PP4",""))</f>
        <v>PP3</v>
      </c>
      <c r="S8" s="9" t="n">
        <f aca="false">SUMPRODUCT(--(tl_target=$C8))</f>
        <v>1</v>
      </c>
      <c r="T8" s="53" t="str">
        <f aca="false">IF(SUMPRODUCT((tl_target=$C8)*(tl_align="Primary"))&gt;0,"Primary link",IF(S8&gt;0,"Secondary only","Gap"))</f>
        <v>Secondary only</v>
      </c>
      <c r="U8" s="66"/>
      <c r="V8" s="66"/>
      <c r="W8" s="66"/>
      <c r="X8" s="66"/>
      <c r="Y8" s="66"/>
    </row>
    <row r="9" customFormat="false" ht="35.05" hidden="false" customHeight="false" outlineLevel="0" collapsed="false">
      <c r="A9" s="25" t="n">
        <v>1</v>
      </c>
      <c r="B9" s="5" t="s">
        <v>318</v>
      </c>
      <c r="C9" s="13" t="s">
        <v>609</v>
      </c>
      <c r="D9" s="5" t="s">
        <v>499</v>
      </c>
      <c r="E9" s="5"/>
      <c r="F9" s="5" t="s">
        <v>610</v>
      </c>
      <c r="G9" s="9" t="n">
        <v>4</v>
      </c>
      <c r="H9" s="53" t="str">
        <f aca="false">IF(SUMPRODUCT((tl_target=$C9)*(tl_sub=H$4)*(tl_align="Primary"))&gt;0,"P",IF(SUMPRODUCT((tl_target=$C9)*(tl_sub=H$4))&gt;0,"S",""))</f>
        <v/>
      </c>
      <c r="I9" s="53" t="str">
        <f aca="false">IF(SUMPRODUCT((tl_target=$C9)*(tl_sub=I$4)*(tl_align="Primary"))&gt;0,"P",IF(SUMPRODUCT((tl_target=$C9)*(tl_sub=I$4))&gt;0,"S",""))</f>
        <v/>
      </c>
      <c r="J9" s="53" t="str">
        <f aca="false">IF(SUMPRODUCT((tl_target=$C9)*(tl_sub=J$4)*(tl_align="Primary"))&gt;0,"P",IF(SUMPRODUCT((tl_target=$C9)*(tl_sub=J$4))&gt;0,"S",""))</f>
        <v/>
      </c>
      <c r="K9" s="53" t="str">
        <f aca="false">IF(SUMPRODUCT((tl_target=$C9)*(tl_sub=K$4)*(tl_align="Primary"))&gt;0,"P",IF(SUMPRODUCT((tl_target=$C9)*(tl_sub=K$4))&gt;0,"S",""))</f>
        <v/>
      </c>
      <c r="L9" s="53" t="str">
        <f aca="false">IF(SUMPRODUCT((tl_target=$C9)*(tl_sub=L$4)*(tl_align="Primary"))&gt;0,"P",IF(SUMPRODUCT((tl_target=$C9)*(tl_sub=L$4))&gt;0,"S",""))</f>
        <v/>
      </c>
      <c r="M9" s="53" t="str">
        <f aca="false">IF(SUMPRODUCT((tl_target=$C9)*(tl_sub=M$4)*(tl_align="Primary"))&gt;0,"P",IF(SUMPRODUCT((tl_target=$C9)*(tl_sub=M$4))&gt;0,"S",""))</f>
        <v/>
      </c>
      <c r="N9" s="53" t="str">
        <f aca="false">IF(SUMPRODUCT((tl_target=$C9)*(tl_sub=N$4)*(tl_align="Primary"))&gt;0,"P",IF(SUMPRODUCT((tl_target=$C9)*(tl_sub=N$4))&gt;0,"S",""))</f>
        <v/>
      </c>
      <c r="O9" s="53" t="str">
        <f aca="false">IF(SUMPRODUCT((tl_target=$C9)*(tl_sub=O$4)*(tl_align="Primary"))&gt;0,"P",IF(SUMPRODUCT((tl_target=$C9)*(tl_sub=O$4))&gt;0,"S",""))</f>
        <v/>
      </c>
      <c r="P9" s="53" t="str">
        <f aca="false">IF(SUMPRODUCT((tl_target=$C9)*(tl_sub=P$4)*(tl_align="Primary"))&gt;0,"P",IF(SUMPRODUCT((tl_target=$C9)*(tl_sub=P$4))&gt;0,"S",""))</f>
        <v/>
      </c>
      <c r="Q9" s="53" t="str">
        <f aca="false">IF(SUMPRODUCT((tl_target=$C9)*(tl_sub=Q$4)*(tl_align="Primary"))&gt;0,"P",IF(SUMPRODUCT((tl_target=$C9)*(tl_sub=Q$4))&gt;0,"S",""))</f>
        <v/>
      </c>
      <c r="R9" s="69" t="str">
        <f aca="false">_xlfn.TEXTJOIN(", ",TRUE(),IF(SUMPRODUCT((tl_target=$C9)*(tl_principle="PP1"))&gt;0,"PP1",""),IF(SUMPRODUCT((tl_target=$C9)*(tl_principle="PP2"))&gt;0,"PP2",""),IF(SUMPRODUCT((tl_target=$C9)*(tl_principle="PP3"))&gt;0,"PP3",""),IF(SUMPRODUCT((tl_target=$C9)*(tl_principle="PP4"))&gt;0,"PP4",""))</f>
        <v/>
      </c>
      <c r="S9" s="9" t="n">
        <f aca="false">SUMPRODUCT(--(tl_target=$C9))</f>
        <v>0</v>
      </c>
      <c r="T9" s="53" t="str">
        <f aca="false">IF(SUMPRODUCT((tl_target=$C9)*(tl_align="Primary"))&gt;0,"Primary link",IF(S9&gt;0,"Secondary only","Gap"))</f>
        <v>Gap</v>
      </c>
      <c r="U9" s="66"/>
      <c r="V9" s="66"/>
      <c r="W9" s="66"/>
      <c r="X9" s="66"/>
      <c r="Y9" s="66"/>
    </row>
    <row r="10" customFormat="false" ht="57.45" hidden="false" customHeight="false" outlineLevel="0" collapsed="false">
      <c r="A10" s="25" t="n">
        <v>1</v>
      </c>
      <c r="B10" s="5" t="s">
        <v>318</v>
      </c>
      <c r="C10" s="13" t="s">
        <v>611</v>
      </c>
      <c r="D10" s="5" t="s">
        <v>612</v>
      </c>
      <c r="E10" s="5"/>
      <c r="F10" s="5" t="s">
        <v>613</v>
      </c>
      <c r="G10" s="9" t="n">
        <v>2</v>
      </c>
      <c r="H10" s="53" t="str">
        <f aca="false">IF(SUMPRODUCT((tl_target=$C10)*(tl_sub=H$4)*(tl_align="Primary"))&gt;0,"P",IF(SUMPRODUCT((tl_target=$C10)*(tl_sub=H$4))&gt;0,"S",""))</f>
        <v/>
      </c>
      <c r="I10" s="53" t="str">
        <f aca="false">IF(SUMPRODUCT((tl_target=$C10)*(tl_sub=I$4)*(tl_align="Primary"))&gt;0,"P",IF(SUMPRODUCT((tl_target=$C10)*(tl_sub=I$4))&gt;0,"S",""))</f>
        <v/>
      </c>
      <c r="J10" s="53" t="str">
        <f aca="false">IF(SUMPRODUCT((tl_target=$C10)*(tl_sub=J$4)*(tl_align="Primary"))&gt;0,"P",IF(SUMPRODUCT((tl_target=$C10)*(tl_sub=J$4))&gt;0,"S",""))</f>
        <v/>
      </c>
      <c r="K10" s="53" t="str">
        <f aca="false">IF(SUMPRODUCT((tl_target=$C10)*(tl_sub=K$4)*(tl_align="Primary"))&gt;0,"P",IF(SUMPRODUCT((tl_target=$C10)*(tl_sub=K$4))&gt;0,"S",""))</f>
        <v/>
      </c>
      <c r="L10" s="53" t="str">
        <f aca="false">IF(SUMPRODUCT((tl_target=$C10)*(tl_sub=L$4)*(tl_align="Primary"))&gt;0,"P",IF(SUMPRODUCT((tl_target=$C10)*(tl_sub=L$4))&gt;0,"S",""))</f>
        <v/>
      </c>
      <c r="M10" s="53" t="str">
        <f aca="false">IF(SUMPRODUCT((tl_target=$C10)*(tl_sub=M$4)*(tl_align="Primary"))&gt;0,"P",IF(SUMPRODUCT((tl_target=$C10)*(tl_sub=M$4))&gt;0,"S",""))</f>
        <v/>
      </c>
      <c r="N10" s="53" t="str">
        <f aca="false">IF(SUMPRODUCT((tl_target=$C10)*(tl_sub=N$4)*(tl_align="Primary"))&gt;0,"P",IF(SUMPRODUCT((tl_target=$C10)*(tl_sub=N$4))&gt;0,"S",""))</f>
        <v/>
      </c>
      <c r="O10" s="53" t="str">
        <f aca="false">IF(SUMPRODUCT((tl_target=$C10)*(tl_sub=O$4)*(tl_align="Primary"))&gt;0,"P",IF(SUMPRODUCT((tl_target=$C10)*(tl_sub=O$4))&gt;0,"S",""))</f>
        <v/>
      </c>
      <c r="P10" s="53" t="str">
        <f aca="false">IF(SUMPRODUCT((tl_target=$C10)*(tl_sub=P$4)*(tl_align="Primary"))&gt;0,"P",IF(SUMPRODUCT((tl_target=$C10)*(tl_sub=P$4))&gt;0,"S",""))</f>
        <v/>
      </c>
      <c r="Q10" s="53" t="str">
        <f aca="false">IF(SUMPRODUCT((tl_target=$C10)*(tl_sub=Q$4)*(tl_align="Primary"))&gt;0,"P",IF(SUMPRODUCT((tl_target=$C10)*(tl_sub=Q$4))&gt;0,"S",""))</f>
        <v/>
      </c>
      <c r="R10" s="69" t="str">
        <f aca="false">_xlfn.TEXTJOIN(", ",TRUE(),IF(SUMPRODUCT((tl_target=$C10)*(tl_principle="PP1"))&gt;0,"PP1",""),IF(SUMPRODUCT((tl_target=$C10)*(tl_principle="PP2"))&gt;0,"PP2",""),IF(SUMPRODUCT((tl_target=$C10)*(tl_principle="PP3"))&gt;0,"PP3",""),IF(SUMPRODUCT((tl_target=$C10)*(tl_principle="PP4"))&gt;0,"PP4",""))</f>
        <v/>
      </c>
      <c r="S10" s="9" t="n">
        <f aca="false">SUMPRODUCT(--(tl_target=$C10))</f>
        <v>0</v>
      </c>
      <c r="T10" s="53" t="str">
        <f aca="false">IF(SUMPRODUCT((tl_target=$C10)*(tl_align="Primary"))&gt;0,"Primary link",IF(S10&gt;0,"Secondary only","Gap"))</f>
        <v>Gap</v>
      </c>
      <c r="U10" s="66"/>
      <c r="V10" s="66"/>
      <c r="W10" s="66"/>
      <c r="X10" s="66"/>
      <c r="Y10" s="66"/>
    </row>
    <row r="11" customFormat="false" ht="35.05" hidden="false" customHeight="false" outlineLevel="0" collapsed="false">
      <c r="A11" s="25" t="n">
        <v>1</v>
      </c>
      <c r="B11" s="5" t="s">
        <v>318</v>
      </c>
      <c r="C11" s="13" t="s">
        <v>614</v>
      </c>
      <c r="D11" s="5" t="s">
        <v>612</v>
      </c>
      <c r="E11" s="5"/>
      <c r="F11" s="5" t="s">
        <v>615</v>
      </c>
      <c r="G11" s="9" t="n">
        <v>1</v>
      </c>
      <c r="H11" s="53" t="str">
        <f aca="false">IF(SUMPRODUCT((tl_target=$C11)*(tl_sub=H$4)*(tl_align="Primary"))&gt;0,"P",IF(SUMPRODUCT((tl_target=$C11)*(tl_sub=H$4))&gt;0,"S",""))</f>
        <v/>
      </c>
      <c r="I11" s="53" t="str">
        <f aca="false">IF(SUMPRODUCT((tl_target=$C11)*(tl_sub=I$4)*(tl_align="Primary"))&gt;0,"P",IF(SUMPRODUCT((tl_target=$C11)*(tl_sub=I$4))&gt;0,"S",""))</f>
        <v/>
      </c>
      <c r="J11" s="53" t="str">
        <f aca="false">IF(SUMPRODUCT((tl_target=$C11)*(tl_sub=J$4)*(tl_align="Primary"))&gt;0,"P",IF(SUMPRODUCT((tl_target=$C11)*(tl_sub=J$4))&gt;0,"S",""))</f>
        <v/>
      </c>
      <c r="K11" s="53" t="str">
        <f aca="false">IF(SUMPRODUCT((tl_target=$C11)*(tl_sub=K$4)*(tl_align="Primary"))&gt;0,"P",IF(SUMPRODUCT((tl_target=$C11)*(tl_sub=K$4))&gt;0,"S",""))</f>
        <v/>
      </c>
      <c r="L11" s="53" t="str">
        <f aca="false">IF(SUMPRODUCT((tl_target=$C11)*(tl_sub=L$4)*(tl_align="Primary"))&gt;0,"P",IF(SUMPRODUCT((tl_target=$C11)*(tl_sub=L$4))&gt;0,"S",""))</f>
        <v/>
      </c>
      <c r="M11" s="53" t="str">
        <f aca="false">IF(SUMPRODUCT((tl_target=$C11)*(tl_sub=M$4)*(tl_align="Primary"))&gt;0,"P",IF(SUMPRODUCT((tl_target=$C11)*(tl_sub=M$4))&gt;0,"S",""))</f>
        <v/>
      </c>
      <c r="N11" s="53" t="str">
        <f aca="false">IF(SUMPRODUCT((tl_target=$C11)*(tl_sub=N$4)*(tl_align="Primary"))&gt;0,"P",IF(SUMPRODUCT((tl_target=$C11)*(tl_sub=N$4))&gt;0,"S",""))</f>
        <v/>
      </c>
      <c r="O11" s="53" t="str">
        <f aca="false">IF(SUMPRODUCT((tl_target=$C11)*(tl_sub=O$4)*(tl_align="Primary"))&gt;0,"P",IF(SUMPRODUCT((tl_target=$C11)*(tl_sub=O$4))&gt;0,"S",""))</f>
        <v/>
      </c>
      <c r="P11" s="53" t="str">
        <f aca="false">IF(SUMPRODUCT((tl_target=$C11)*(tl_sub=P$4)*(tl_align="Primary"))&gt;0,"P",IF(SUMPRODUCT((tl_target=$C11)*(tl_sub=P$4))&gt;0,"S",""))</f>
        <v/>
      </c>
      <c r="Q11" s="53" t="str">
        <f aca="false">IF(SUMPRODUCT((tl_target=$C11)*(tl_sub=Q$4)*(tl_align="Primary"))&gt;0,"P",IF(SUMPRODUCT((tl_target=$C11)*(tl_sub=Q$4))&gt;0,"S",""))</f>
        <v/>
      </c>
      <c r="R11" s="69" t="str">
        <f aca="false">_xlfn.TEXTJOIN(", ",TRUE(),IF(SUMPRODUCT((tl_target=$C11)*(tl_principle="PP1"))&gt;0,"PP1",""),IF(SUMPRODUCT((tl_target=$C11)*(tl_principle="PP2"))&gt;0,"PP2",""),IF(SUMPRODUCT((tl_target=$C11)*(tl_principle="PP3"))&gt;0,"PP3",""),IF(SUMPRODUCT((tl_target=$C11)*(tl_principle="PP4"))&gt;0,"PP4",""))</f>
        <v/>
      </c>
      <c r="S11" s="9" t="n">
        <f aca="false">SUMPRODUCT(--(tl_target=$C11))</f>
        <v>0</v>
      </c>
      <c r="T11" s="53" t="str">
        <f aca="false">IF(SUMPRODUCT((tl_target=$C11)*(tl_align="Primary"))&gt;0,"Primary link",IF(S11&gt;0,"Secondary only","Gap"))</f>
        <v>Gap</v>
      </c>
      <c r="U11" s="66"/>
      <c r="V11" s="66"/>
      <c r="W11" s="66"/>
      <c r="X11" s="66"/>
      <c r="Y11" s="66"/>
    </row>
    <row r="12" customFormat="false" ht="35.05" hidden="false" customHeight="false" outlineLevel="0" collapsed="false">
      <c r="A12" s="55" t="n">
        <v>2</v>
      </c>
      <c r="B12" s="5" t="s">
        <v>536</v>
      </c>
      <c r="C12" s="13" t="s">
        <v>616</v>
      </c>
      <c r="D12" s="5" t="s">
        <v>499</v>
      </c>
      <c r="E12" s="5"/>
      <c r="F12" s="5" t="s">
        <v>617</v>
      </c>
      <c r="G12" s="9" t="n">
        <v>2</v>
      </c>
      <c r="H12" s="53" t="str">
        <f aca="false">IF(SUMPRODUCT((tl_target=$C12)*(tl_sub=H$4)*(tl_align="Primary"))&gt;0,"P",IF(SUMPRODUCT((tl_target=$C12)*(tl_sub=H$4))&gt;0,"S",""))</f>
        <v/>
      </c>
      <c r="I12" s="53" t="str">
        <f aca="false">IF(SUMPRODUCT((tl_target=$C12)*(tl_sub=I$4)*(tl_align="Primary"))&gt;0,"P",IF(SUMPRODUCT((tl_target=$C12)*(tl_sub=I$4))&gt;0,"S",""))</f>
        <v/>
      </c>
      <c r="J12" s="53" t="str">
        <f aca="false">IF(SUMPRODUCT((tl_target=$C12)*(tl_sub=J$4)*(tl_align="Primary"))&gt;0,"P",IF(SUMPRODUCT((tl_target=$C12)*(tl_sub=J$4))&gt;0,"S",""))</f>
        <v/>
      </c>
      <c r="K12" s="53" t="str">
        <f aca="false">IF(SUMPRODUCT((tl_target=$C12)*(tl_sub=K$4)*(tl_align="Primary"))&gt;0,"P",IF(SUMPRODUCT((tl_target=$C12)*(tl_sub=K$4))&gt;0,"S",""))</f>
        <v/>
      </c>
      <c r="L12" s="53" t="str">
        <f aca="false">IF(SUMPRODUCT((tl_target=$C12)*(tl_sub=L$4)*(tl_align="Primary"))&gt;0,"P",IF(SUMPRODUCT((tl_target=$C12)*(tl_sub=L$4))&gt;0,"S",""))</f>
        <v/>
      </c>
      <c r="M12" s="53" t="str">
        <f aca="false">IF(SUMPRODUCT((tl_target=$C12)*(tl_sub=M$4)*(tl_align="Primary"))&gt;0,"P",IF(SUMPRODUCT((tl_target=$C12)*(tl_sub=M$4))&gt;0,"S",""))</f>
        <v/>
      </c>
      <c r="N12" s="53" t="str">
        <f aca="false">IF(SUMPRODUCT((tl_target=$C12)*(tl_sub=N$4)*(tl_align="Primary"))&gt;0,"P",IF(SUMPRODUCT((tl_target=$C12)*(tl_sub=N$4))&gt;0,"S",""))</f>
        <v/>
      </c>
      <c r="O12" s="53" t="str">
        <f aca="false">IF(SUMPRODUCT((tl_target=$C12)*(tl_sub=O$4)*(tl_align="Primary"))&gt;0,"P",IF(SUMPRODUCT((tl_target=$C12)*(tl_sub=O$4))&gt;0,"S",""))</f>
        <v/>
      </c>
      <c r="P12" s="53" t="str">
        <f aca="false">IF(SUMPRODUCT((tl_target=$C12)*(tl_sub=P$4)*(tl_align="Primary"))&gt;0,"P",IF(SUMPRODUCT((tl_target=$C12)*(tl_sub=P$4))&gt;0,"S",""))</f>
        <v/>
      </c>
      <c r="Q12" s="53" t="str">
        <f aca="false">IF(SUMPRODUCT((tl_target=$C12)*(tl_sub=Q$4)*(tl_align="Primary"))&gt;0,"P",IF(SUMPRODUCT((tl_target=$C12)*(tl_sub=Q$4))&gt;0,"S",""))</f>
        <v/>
      </c>
      <c r="R12" s="69" t="str">
        <f aca="false">_xlfn.TEXTJOIN(", ",TRUE(),IF(SUMPRODUCT((tl_target=$C12)*(tl_principle="PP1"))&gt;0,"PP1",""),IF(SUMPRODUCT((tl_target=$C12)*(tl_principle="PP2"))&gt;0,"PP2",""),IF(SUMPRODUCT((tl_target=$C12)*(tl_principle="PP3"))&gt;0,"PP3",""),IF(SUMPRODUCT((tl_target=$C12)*(tl_principle="PP4"))&gt;0,"PP4",""))</f>
        <v/>
      </c>
      <c r="S12" s="9" t="n">
        <f aca="false">SUMPRODUCT(--(tl_target=$C12))</f>
        <v>0</v>
      </c>
      <c r="T12" s="53" t="str">
        <f aca="false">IF(SUMPRODUCT((tl_target=$C12)*(tl_align="Primary"))&gt;0,"Primary link",IF(S12&gt;0,"Secondary only","Gap"))</f>
        <v>Gap</v>
      </c>
      <c r="U12" s="66"/>
      <c r="V12" s="66"/>
      <c r="W12" s="66"/>
      <c r="X12" s="66"/>
      <c r="Y12" s="66"/>
    </row>
    <row r="13" customFormat="false" ht="46.25" hidden="false" customHeight="false" outlineLevel="0" collapsed="false">
      <c r="A13" s="55" t="n">
        <v>2</v>
      </c>
      <c r="B13" s="5" t="s">
        <v>536</v>
      </c>
      <c r="C13" s="13" t="s">
        <v>618</v>
      </c>
      <c r="D13" s="5" t="s">
        <v>499</v>
      </c>
      <c r="E13" s="5"/>
      <c r="F13" s="5" t="s">
        <v>619</v>
      </c>
      <c r="G13" s="9" t="n">
        <v>4</v>
      </c>
      <c r="H13" s="53" t="str">
        <f aca="false">IF(SUMPRODUCT((tl_target=$C13)*(tl_sub=H$4)*(tl_align="Primary"))&gt;0,"P",IF(SUMPRODUCT((tl_target=$C13)*(tl_sub=H$4))&gt;0,"S",""))</f>
        <v/>
      </c>
      <c r="I13" s="53" t="str">
        <f aca="false">IF(SUMPRODUCT((tl_target=$C13)*(tl_sub=I$4)*(tl_align="Primary"))&gt;0,"P",IF(SUMPRODUCT((tl_target=$C13)*(tl_sub=I$4))&gt;0,"S",""))</f>
        <v/>
      </c>
      <c r="J13" s="53" t="str">
        <f aca="false">IF(SUMPRODUCT((tl_target=$C13)*(tl_sub=J$4)*(tl_align="Primary"))&gt;0,"P",IF(SUMPRODUCT((tl_target=$C13)*(tl_sub=J$4))&gt;0,"S",""))</f>
        <v/>
      </c>
      <c r="K13" s="53" t="str">
        <f aca="false">IF(SUMPRODUCT((tl_target=$C13)*(tl_sub=K$4)*(tl_align="Primary"))&gt;0,"P",IF(SUMPRODUCT((tl_target=$C13)*(tl_sub=K$4))&gt;0,"S",""))</f>
        <v/>
      </c>
      <c r="L13" s="53" t="str">
        <f aca="false">IF(SUMPRODUCT((tl_target=$C13)*(tl_sub=L$4)*(tl_align="Primary"))&gt;0,"P",IF(SUMPRODUCT((tl_target=$C13)*(tl_sub=L$4))&gt;0,"S",""))</f>
        <v/>
      </c>
      <c r="M13" s="53" t="str">
        <f aca="false">IF(SUMPRODUCT((tl_target=$C13)*(tl_sub=M$4)*(tl_align="Primary"))&gt;0,"P",IF(SUMPRODUCT((tl_target=$C13)*(tl_sub=M$4))&gt;0,"S",""))</f>
        <v/>
      </c>
      <c r="N13" s="53" t="str">
        <f aca="false">IF(SUMPRODUCT((tl_target=$C13)*(tl_sub=N$4)*(tl_align="Primary"))&gt;0,"P",IF(SUMPRODUCT((tl_target=$C13)*(tl_sub=N$4))&gt;0,"S",""))</f>
        <v/>
      </c>
      <c r="O13" s="53" t="str">
        <f aca="false">IF(SUMPRODUCT((tl_target=$C13)*(tl_sub=O$4)*(tl_align="Primary"))&gt;0,"P",IF(SUMPRODUCT((tl_target=$C13)*(tl_sub=O$4))&gt;0,"S",""))</f>
        <v/>
      </c>
      <c r="P13" s="53" t="str">
        <f aca="false">IF(SUMPRODUCT((tl_target=$C13)*(tl_sub=P$4)*(tl_align="Primary"))&gt;0,"P",IF(SUMPRODUCT((tl_target=$C13)*(tl_sub=P$4))&gt;0,"S",""))</f>
        <v/>
      </c>
      <c r="Q13" s="53" t="str">
        <f aca="false">IF(SUMPRODUCT((tl_target=$C13)*(tl_sub=Q$4)*(tl_align="Primary"))&gt;0,"P",IF(SUMPRODUCT((tl_target=$C13)*(tl_sub=Q$4))&gt;0,"S",""))</f>
        <v/>
      </c>
      <c r="R13" s="69" t="str">
        <f aca="false">_xlfn.TEXTJOIN(", ",TRUE(),IF(SUMPRODUCT((tl_target=$C13)*(tl_principle="PP1"))&gt;0,"PP1",""),IF(SUMPRODUCT((tl_target=$C13)*(tl_principle="PP2"))&gt;0,"PP2",""),IF(SUMPRODUCT((tl_target=$C13)*(tl_principle="PP3"))&gt;0,"PP3",""),IF(SUMPRODUCT((tl_target=$C13)*(tl_principle="PP4"))&gt;0,"PP4",""))</f>
        <v/>
      </c>
      <c r="S13" s="9" t="n">
        <f aca="false">SUMPRODUCT(--(tl_target=$C13))</f>
        <v>0</v>
      </c>
      <c r="T13" s="53" t="str">
        <f aca="false">IF(SUMPRODUCT((tl_target=$C13)*(tl_align="Primary"))&gt;0,"Primary link",IF(S13&gt;0,"Secondary only","Gap"))</f>
        <v>Gap</v>
      </c>
      <c r="U13" s="66"/>
      <c r="V13" s="66"/>
      <c r="W13" s="66"/>
      <c r="X13" s="66"/>
      <c r="Y13" s="66"/>
    </row>
    <row r="14" customFormat="false" ht="57.45" hidden="false" customHeight="false" outlineLevel="0" collapsed="false">
      <c r="A14" s="55" t="n">
        <v>2</v>
      </c>
      <c r="B14" s="5" t="s">
        <v>536</v>
      </c>
      <c r="C14" s="13" t="s">
        <v>620</v>
      </c>
      <c r="D14" s="5" t="s">
        <v>499</v>
      </c>
      <c r="E14" s="5"/>
      <c r="F14" s="5" t="s">
        <v>621</v>
      </c>
      <c r="G14" s="9" t="n">
        <v>2</v>
      </c>
      <c r="H14" s="53" t="str">
        <f aca="false">IF(SUMPRODUCT((tl_target=$C14)*(tl_sub=H$4)*(tl_align="Primary"))&gt;0,"P",IF(SUMPRODUCT((tl_target=$C14)*(tl_sub=H$4))&gt;0,"S",""))</f>
        <v/>
      </c>
      <c r="I14" s="53" t="str">
        <f aca="false">IF(SUMPRODUCT((tl_target=$C14)*(tl_sub=I$4)*(tl_align="Primary"))&gt;0,"P",IF(SUMPRODUCT((tl_target=$C14)*(tl_sub=I$4))&gt;0,"S",""))</f>
        <v/>
      </c>
      <c r="J14" s="53" t="str">
        <f aca="false">IF(SUMPRODUCT((tl_target=$C14)*(tl_sub=J$4)*(tl_align="Primary"))&gt;0,"P",IF(SUMPRODUCT((tl_target=$C14)*(tl_sub=J$4))&gt;0,"S",""))</f>
        <v/>
      </c>
      <c r="K14" s="53" t="str">
        <f aca="false">IF(SUMPRODUCT((tl_target=$C14)*(tl_sub=K$4)*(tl_align="Primary"))&gt;0,"P",IF(SUMPRODUCT((tl_target=$C14)*(tl_sub=K$4))&gt;0,"S",""))</f>
        <v/>
      </c>
      <c r="L14" s="53" t="str">
        <f aca="false">IF(SUMPRODUCT((tl_target=$C14)*(tl_sub=L$4)*(tl_align="Primary"))&gt;0,"P",IF(SUMPRODUCT((tl_target=$C14)*(tl_sub=L$4))&gt;0,"S",""))</f>
        <v/>
      </c>
      <c r="M14" s="53" t="str">
        <f aca="false">IF(SUMPRODUCT((tl_target=$C14)*(tl_sub=M$4)*(tl_align="Primary"))&gt;0,"P",IF(SUMPRODUCT((tl_target=$C14)*(tl_sub=M$4))&gt;0,"S",""))</f>
        <v/>
      </c>
      <c r="N14" s="53" t="str">
        <f aca="false">IF(SUMPRODUCT((tl_target=$C14)*(tl_sub=N$4)*(tl_align="Primary"))&gt;0,"P",IF(SUMPRODUCT((tl_target=$C14)*(tl_sub=N$4))&gt;0,"S",""))</f>
        <v/>
      </c>
      <c r="O14" s="53" t="str">
        <f aca="false">IF(SUMPRODUCT((tl_target=$C14)*(tl_sub=O$4)*(tl_align="Primary"))&gt;0,"P",IF(SUMPRODUCT((tl_target=$C14)*(tl_sub=O$4))&gt;0,"S",""))</f>
        <v/>
      </c>
      <c r="P14" s="53" t="str">
        <f aca="false">IF(SUMPRODUCT((tl_target=$C14)*(tl_sub=P$4)*(tl_align="Primary"))&gt;0,"P",IF(SUMPRODUCT((tl_target=$C14)*(tl_sub=P$4))&gt;0,"S",""))</f>
        <v/>
      </c>
      <c r="Q14" s="53" t="str">
        <f aca="false">IF(SUMPRODUCT((tl_target=$C14)*(tl_sub=Q$4)*(tl_align="Primary"))&gt;0,"P",IF(SUMPRODUCT((tl_target=$C14)*(tl_sub=Q$4))&gt;0,"S",""))</f>
        <v/>
      </c>
      <c r="R14" s="69" t="str">
        <f aca="false">_xlfn.TEXTJOIN(", ",TRUE(),IF(SUMPRODUCT((tl_target=$C14)*(tl_principle="PP1"))&gt;0,"PP1",""),IF(SUMPRODUCT((tl_target=$C14)*(tl_principle="PP2"))&gt;0,"PP2",""),IF(SUMPRODUCT((tl_target=$C14)*(tl_principle="PP3"))&gt;0,"PP3",""),IF(SUMPRODUCT((tl_target=$C14)*(tl_principle="PP4"))&gt;0,"PP4",""))</f>
        <v/>
      </c>
      <c r="S14" s="9" t="n">
        <f aca="false">SUMPRODUCT(--(tl_target=$C14))</f>
        <v>0</v>
      </c>
      <c r="T14" s="53" t="str">
        <f aca="false">IF(SUMPRODUCT((tl_target=$C14)*(tl_align="Primary"))&gt;0,"Primary link",IF(S14&gt;0,"Secondary only","Gap"))</f>
        <v>Gap</v>
      </c>
      <c r="U14" s="66"/>
      <c r="V14" s="66"/>
      <c r="W14" s="66"/>
      <c r="X14" s="66"/>
      <c r="Y14" s="66"/>
    </row>
    <row r="15" customFormat="false" ht="57.45" hidden="false" customHeight="false" outlineLevel="0" collapsed="false">
      <c r="A15" s="55" t="n">
        <v>2</v>
      </c>
      <c r="B15" s="5" t="s">
        <v>536</v>
      </c>
      <c r="C15" s="13" t="s">
        <v>622</v>
      </c>
      <c r="D15" s="5" t="s">
        <v>499</v>
      </c>
      <c r="E15" s="5"/>
      <c r="F15" s="5" t="s">
        <v>623</v>
      </c>
      <c r="G15" s="9" t="n">
        <v>1</v>
      </c>
      <c r="H15" s="53" t="str">
        <f aca="false">IF(SUMPRODUCT((tl_target=$C15)*(tl_sub=H$4)*(tl_align="Primary"))&gt;0,"P",IF(SUMPRODUCT((tl_target=$C15)*(tl_sub=H$4))&gt;0,"S",""))</f>
        <v/>
      </c>
      <c r="I15" s="53" t="str">
        <f aca="false">IF(SUMPRODUCT((tl_target=$C15)*(tl_sub=I$4)*(tl_align="Primary"))&gt;0,"P",IF(SUMPRODUCT((tl_target=$C15)*(tl_sub=I$4))&gt;0,"S",""))</f>
        <v/>
      </c>
      <c r="J15" s="53" t="str">
        <f aca="false">IF(SUMPRODUCT((tl_target=$C15)*(tl_sub=J$4)*(tl_align="Primary"))&gt;0,"P",IF(SUMPRODUCT((tl_target=$C15)*(tl_sub=J$4))&gt;0,"S",""))</f>
        <v/>
      </c>
      <c r="K15" s="53" t="str">
        <f aca="false">IF(SUMPRODUCT((tl_target=$C15)*(tl_sub=K$4)*(tl_align="Primary"))&gt;0,"P",IF(SUMPRODUCT((tl_target=$C15)*(tl_sub=K$4))&gt;0,"S",""))</f>
        <v/>
      </c>
      <c r="L15" s="53" t="str">
        <f aca="false">IF(SUMPRODUCT((tl_target=$C15)*(tl_sub=L$4)*(tl_align="Primary"))&gt;0,"P",IF(SUMPRODUCT((tl_target=$C15)*(tl_sub=L$4))&gt;0,"S",""))</f>
        <v/>
      </c>
      <c r="M15" s="53" t="str">
        <f aca="false">IF(SUMPRODUCT((tl_target=$C15)*(tl_sub=M$4)*(tl_align="Primary"))&gt;0,"P",IF(SUMPRODUCT((tl_target=$C15)*(tl_sub=M$4))&gt;0,"S",""))</f>
        <v/>
      </c>
      <c r="N15" s="53" t="str">
        <f aca="false">IF(SUMPRODUCT((tl_target=$C15)*(tl_sub=N$4)*(tl_align="Primary"))&gt;0,"P",IF(SUMPRODUCT((tl_target=$C15)*(tl_sub=N$4))&gt;0,"S",""))</f>
        <v/>
      </c>
      <c r="O15" s="53" t="str">
        <f aca="false">IF(SUMPRODUCT((tl_target=$C15)*(tl_sub=O$4)*(tl_align="Primary"))&gt;0,"P",IF(SUMPRODUCT((tl_target=$C15)*(tl_sub=O$4))&gt;0,"S",""))</f>
        <v/>
      </c>
      <c r="P15" s="53" t="str">
        <f aca="false">IF(SUMPRODUCT((tl_target=$C15)*(tl_sub=P$4)*(tl_align="Primary"))&gt;0,"P",IF(SUMPRODUCT((tl_target=$C15)*(tl_sub=P$4))&gt;0,"S",""))</f>
        <v/>
      </c>
      <c r="Q15" s="53" t="str">
        <f aca="false">IF(SUMPRODUCT((tl_target=$C15)*(tl_sub=Q$4)*(tl_align="Primary"))&gt;0,"P",IF(SUMPRODUCT((tl_target=$C15)*(tl_sub=Q$4))&gt;0,"S",""))</f>
        <v/>
      </c>
      <c r="R15" s="69" t="str">
        <f aca="false">_xlfn.TEXTJOIN(", ",TRUE(),IF(SUMPRODUCT((tl_target=$C15)*(tl_principle="PP1"))&gt;0,"PP1",""),IF(SUMPRODUCT((tl_target=$C15)*(tl_principle="PP2"))&gt;0,"PP2",""),IF(SUMPRODUCT((tl_target=$C15)*(tl_principle="PP3"))&gt;0,"PP3",""),IF(SUMPRODUCT((tl_target=$C15)*(tl_principle="PP4"))&gt;0,"PP4",""))</f>
        <v/>
      </c>
      <c r="S15" s="9" t="n">
        <f aca="false">SUMPRODUCT(--(tl_target=$C15))</f>
        <v>0</v>
      </c>
      <c r="T15" s="53" t="str">
        <f aca="false">IF(SUMPRODUCT((tl_target=$C15)*(tl_align="Primary"))&gt;0,"Primary link",IF(S15&gt;0,"Secondary only","Gap"))</f>
        <v>Gap</v>
      </c>
      <c r="U15" s="66"/>
      <c r="V15" s="66"/>
      <c r="W15" s="66"/>
      <c r="X15" s="66"/>
      <c r="Y15" s="66"/>
    </row>
    <row r="16" customFormat="false" ht="68.65" hidden="false" customHeight="false" outlineLevel="0" collapsed="false">
      <c r="A16" s="55" t="n">
        <v>2</v>
      </c>
      <c r="B16" s="5" t="s">
        <v>536</v>
      </c>
      <c r="C16" s="13" t="s">
        <v>624</v>
      </c>
      <c r="D16" s="5" t="s">
        <v>499</v>
      </c>
      <c r="E16" s="5"/>
      <c r="F16" s="5" t="s">
        <v>625</v>
      </c>
      <c r="G16" s="9" t="n">
        <v>2</v>
      </c>
      <c r="H16" s="53" t="str">
        <f aca="false">IF(SUMPRODUCT((tl_target=$C16)*(tl_sub=H$4)*(tl_align="Primary"))&gt;0,"P",IF(SUMPRODUCT((tl_target=$C16)*(tl_sub=H$4))&gt;0,"S",""))</f>
        <v/>
      </c>
      <c r="I16" s="53" t="str">
        <f aca="false">IF(SUMPRODUCT((tl_target=$C16)*(tl_sub=I$4)*(tl_align="Primary"))&gt;0,"P",IF(SUMPRODUCT((tl_target=$C16)*(tl_sub=I$4))&gt;0,"S",""))</f>
        <v/>
      </c>
      <c r="J16" s="53" t="str">
        <f aca="false">IF(SUMPRODUCT((tl_target=$C16)*(tl_sub=J$4)*(tl_align="Primary"))&gt;0,"P",IF(SUMPRODUCT((tl_target=$C16)*(tl_sub=J$4))&gt;0,"S",""))</f>
        <v/>
      </c>
      <c r="K16" s="53" t="str">
        <f aca="false">IF(SUMPRODUCT((tl_target=$C16)*(tl_sub=K$4)*(tl_align="Primary"))&gt;0,"P",IF(SUMPRODUCT((tl_target=$C16)*(tl_sub=K$4))&gt;0,"S",""))</f>
        <v/>
      </c>
      <c r="L16" s="53" t="str">
        <f aca="false">IF(SUMPRODUCT((tl_target=$C16)*(tl_sub=L$4)*(tl_align="Primary"))&gt;0,"P",IF(SUMPRODUCT((tl_target=$C16)*(tl_sub=L$4))&gt;0,"S",""))</f>
        <v/>
      </c>
      <c r="M16" s="53" t="str">
        <f aca="false">IF(SUMPRODUCT((tl_target=$C16)*(tl_sub=M$4)*(tl_align="Primary"))&gt;0,"P",IF(SUMPRODUCT((tl_target=$C16)*(tl_sub=M$4))&gt;0,"S",""))</f>
        <v/>
      </c>
      <c r="N16" s="53" t="str">
        <f aca="false">IF(SUMPRODUCT((tl_target=$C16)*(tl_sub=N$4)*(tl_align="Primary"))&gt;0,"P",IF(SUMPRODUCT((tl_target=$C16)*(tl_sub=N$4))&gt;0,"S",""))</f>
        <v/>
      </c>
      <c r="O16" s="53" t="str">
        <f aca="false">IF(SUMPRODUCT((tl_target=$C16)*(tl_sub=O$4)*(tl_align="Primary"))&gt;0,"P",IF(SUMPRODUCT((tl_target=$C16)*(tl_sub=O$4))&gt;0,"S",""))</f>
        <v/>
      </c>
      <c r="P16" s="53" t="str">
        <f aca="false">IF(SUMPRODUCT((tl_target=$C16)*(tl_sub=P$4)*(tl_align="Primary"))&gt;0,"P",IF(SUMPRODUCT((tl_target=$C16)*(tl_sub=P$4))&gt;0,"S",""))</f>
        <v/>
      </c>
      <c r="Q16" s="53" t="str">
        <f aca="false">IF(SUMPRODUCT((tl_target=$C16)*(tl_sub=Q$4)*(tl_align="Primary"))&gt;0,"P",IF(SUMPRODUCT((tl_target=$C16)*(tl_sub=Q$4))&gt;0,"S",""))</f>
        <v/>
      </c>
      <c r="R16" s="69" t="str">
        <f aca="false">_xlfn.TEXTJOIN(", ",TRUE(),IF(SUMPRODUCT((tl_target=$C16)*(tl_principle="PP1"))&gt;0,"PP1",""),IF(SUMPRODUCT((tl_target=$C16)*(tl_principle="PP2"))&gt;0,"PP2",""),IF(SUMPRODUCT((tl_target=$C16)*(tl_principle="PP3"))&gt;0,"PP3",""),IF(SUMPRODUCT((tl_target=$C16)*(tl_principle="PP4"))&gt;0,"PP4",""))</f>
        <v/>
      </c>
      <c r="S16" s="9" t="n">
        <f aca="false">SUMPRODUCT(--(tl_target=$C16))</f>
        <v>0</v>
      </c>
      <c r="T16" s="53" t="str">
        <f aca="false">IF(SUMPRODUCT((tl_target=$C16)*(tl_align="Primary"))&gt;0,"Primary link",IF(S16&gt;0,"Secondary only","Gap"))</f>
        <v>Gap</v>
      </c>
      <c r="U16" s="66"/>
      <c r="V16" s="66"/>
      <c r="W16" s="66"/>
      <c r="X16" s="66"/>
      <c r="Y16" s="66"/>
    </row>
    <row r="17" customFormat="false" ht="57.45" hidden="false" customHeight="false" outlineLevel="0" collapsed="false">
      <c r="A17" s="55" t="n">
        <v>2</v>
      </c>
      <c r="B17" s="5" t="s">
        <v>536</v>
      </c>
      <c r="C17" s="13" t="s">
        <v>626</v>
      </c>
      <c r="D17" s="5" t="s">
        <v>612</v>
      </c>
      <c r="E17" s="5"/>
      <c r="F17" s="5" t="s">
        <v>627</v>
      </c>
      <c r="G17" s="9" t="n">
        <v>2</v>
      </c>
      <c r="H17" s="53" t="str">
        <f aca="false">IF(SUMPRODUCT((tl_target=$C17)*(tl_sub=H$4)*(tl_align="Primary"))&gt;0,"P",IF(SUMPRODUCT((tl_target=$C17)*(tl_sub=H$4))&gt;0,"S",""))</f>
        <v/>
      </c>
      <c r="I17" s="53" t="str">
        <f aca="false">IF(SUMPRODUCT((tl_target=$C17)*(tl_sub=I$4)*(tl_align="Primary"))&gt;0,"P",IF(SUMPRODUCT((tl_target=$C17)*(tl_sub=I$4))&gt;0,"S",""))</f>
        <v/>
      </c>
      <c r="J17" s="53" t="str">
        <f aca="false">IF(SUMPRODUCT((tl_target=$C17)*(tl_sub=J$4)*(tl_align="Primary"))&gt;0,"P",IF(SUMPRODUCT((tl_target=$C17)*(tl_sub=J$4))&gt;0,"S",""))</f>
        <v/>
      </c>
      <c r="K17" s="53" t="str">
        <f aca="false">IF(SUMPRODUCT((tl_target=$C17)*(tl_sub=K$4)*(tl_align="Primary"))&gt;0,"P",IF(SUMPRODUCT((tl_target=$C17)*(tl_sub=K$4))&gt;0,"S",""))</f>
        <v/>
      </c>
      <c r="L17" s="53" t="str">
        <f aca="false">IF(SUMPRODUCT((tl_target=$C17)*(tl_sub=L$4)*(tl_align="Primary"))&gt;0,"P",IF(SUMPRODUCT((tl_target=$C17)*(tl_sub=L$4))&gt;0,"S",""))</f>
        <v/>
      </c>
      <c r="M17" s="53" t="str">
        <f aca="false">IF(SUMPRODUCT((tl_target=$C17)*(tl_sub=M$4)*(tl_align="Primary"))&gt;0,"P",IF(SUMPRODUCT((tl_target=$C17)*(tl_sub=M$4))&gt;0,"S",""))</f>
        <v/>
      </c>
      <c r="N17" s="53" t="str">
        <f aca="false">IF(SUMPRODUCT((tl_target=$C17)*(tl_sub=N$4)*(tl_align="Primary"))&gt;0,"P",IF(SUMPRODUCT((tl_target=$C17)*(tl_sub=N$4))&gt;0,"S",""))</f>
        <v/>
      </c>
      <c r="O17" s="53" t="str">
        <f aca="false">IF(SUMPRODUCT((tl_target=$C17)*(tl_sub=O$4)*(tl_align="Primary"))&gt;0,"P",IF(SUMPRODUCT((tl_target=$C17)*(tl_sub=O$4))&gt;0,"S",""))</f>
        <v/>
      </c>
      <c r="P17" s="53" t="str">
        <f aca="false">IF(SUMPRODUCT((tl_target=$C17)*(tl_sub=P$4)*(tl_align="Primary"))&gt;0,"P",IF(SUMPRODUCT((tl_target=$C17)*(tl_sub=P$4))&gt;0,"S",""))</f>
        <v/>
      </c>
      <c r="Q17" s="53" t="str">
        <f aca="false">IF(SUMPRODUCT((tl_target=$C17)*(tl_sub=Q$4)*(tl_align="Primary"))&gt;0,"P",IF(SUMPRODUCT((tl_target=$C17)*(tl_sub=Q$4))&gt;0,"S",""))</f>
        <v/>
      </c>
      <c r="R17" s="69" t="str">
        <f aca="false">_xlfn.TEXTJOIN(", ",TRUE(),IF(SUMPRODUCT((tl_target=$C17)*(tl_principle="PP1"))&gt;0,"PP1",""),IF(SUMPRODUCT((tl_target=$C17)*(tl_principle="PP2"))&gt;0,"PP2",""),IF(SUMPRODUCT((tl_target=$C17)*(tl_principle="PP3"))&gt;0,"PP3",""),IF(SUMPRODUCT((tl_target=$C17)*(tl_principle="PP4"))&gt;0,"PP4",""))</f>
        <v/>
      </c>
      <c r="S17" s="9" t="n">
        <f aca="false">SUMPRODUCT(--(tl_target=$C17))</f>
        <v>0</v>
      </c>
      <c r="T17" s="53" t="str">
        <f aca="false">IF(SUMPRODUCT((tl_target=$C17)*(tl_align="Primary"))&gt;0,"Primary link",IF(S17&gt;0,"Secondary only","Gap"))</f>
        <v>Gap</v>
      </c>
      <c r="U17" s="66"/>
      <c r="V17" s="66"/>
      <c r="W17" s="66"/>
      <c r="X17" s="66"/>
      <c r="Y17" s="66"/>
    </row>
    <row r="18" customFormat="false" ht="46.25" hidden="false" customHeight="false" outlineLevel="0" collapsed="false">
      <c r="A18" s="55" t="n">
        <v>2</v>
      </c>
      <c r="B18" s="5" t="s">
        <v>536</v>
      </c>
      <c r="C18" s="13" t="s">
        <v>628</v>
      </c>
      <c r="D18" s="5" t="s">
        <v>612</v>
      </c>
      <c r="E18" s="5"/>
      <c r="F18" s="5" t="s">
        <v>629</v>
      </c>
      <c r="G18" s="9" t="n">
        <v>1</v>
      </c>
      <c r="H18" s="53" t="str">
        <f aca="false">IF(SUMPRODUCT((tl_target=$C18)*(tl_sub=H$4)*(tl_align="Primary"))&gt;0,"P",IF(SUMPRODUCT((tl_target=$C18)*(tl_sub=H$4))&gt;0,"S",""))</f>
        <v/>
      </c>
      <c r="I18" s="53" t="str">
        <f aca="false">IF(SUMPRODUCT((tl_target=$C18)*(tl_sub=I$4)*(tl_align="Primary"))&gt;0,"P",IF(SUMPRODUCT((tl_target=$C18)*(tl_sub=I$4))&gt;0,"S",""))</f>
        <v/>
      </c>
      <c r="J18" s="53" t="str">
        <f aca="false">IF(SUMPRODUCT((tl_target=$C18)*(tl_sub=J$4)*(tl_align="Primary"))&gt;0,"P",IF(SUMPRODUCT((tl_target=$C18)*(tl_sub=J$4))&gt;0,"S",""))</f>
        <v/>
      </c>
      <c r="K18" s="53" t="str">
        <f aca="false">IF(SUMPRODUCT((tl_target=$C18)*(tl_sub=K$4)*(tl_align="Primary"))&gt;0,"P",IF(SUMPRODUCT((tl_target=$C18)*(tl_sub=K$4))&gt;0,"S",""))</f>
        <v/>
      </c>
      <c r="L18" s="53" t="str">
        <f aca="false">IF(SUMPRODUCT((tl_target=$C18)*(tl_sub=L$4)*(tl_align="Primary"))&gt;0,"P",IF(SUMPRODUCT((tl_target=$C18)*(tl_sub=L$4))&gt;0,"S",""))</f>
        <v/>
      </c>
      <c r="M18" s="53" t="str">
        <f aca="false">IF(SUMPRODUCT((tl_target=$C18)*(tl_sub=M$4)*(tl_align="Primary"))&gt;0,"P",IF(SUMPRODUCT((tl_target=$C18)*(tl_sub=M$4))&gt;0,"S",""))</f>
        <v/>
      </c>
      <c r="N18" s="53" t="str">
        <f aca="false">IF(SUMPRODUCT((tl_target=$C18)*(tl_sub=N$4)*(tl_align="Primary"))&gt;0,"P",IF(SUMPRODUCT((tl_target=$C18)*(tl_sub=N$4))&gt;0,"S",""))</f>
        <v/>
      </c>
      <c r="O18" s="53" t="str">
        <f aca="false">IF(SUMPRODUCT((tl_target=$C18)*(tl_sub=O$4)*(tl_align="Primary"))&gt;0,"P",IF(SUMPRODUCT((tl_target=$C18)*(tl_sub=O$4))&gt;0,"S",""))</f>
        <v/>
      </c>
      <c r="P18" s="53" t="str">
        <f aca="false">IF(SUMPRODUCT((tl_target=$C18)*(tl_sub=P$4)*(tl_align="Primary"))&gt;0,"P",IF(SUMPRODUCT((tl_target=$C18)*(tl_sub=P$4))&gt;0,"S",""))</f>
        <v/>
      </c>
      <c r="Q18" s="53" t="str">
        <f aca="false">IF(SUMPRODUCT((tl_target=$C18)*(tl_sub=Q$4)*(tl_align="Primary"))&gt;0,"P",IF(SUMPRODUCT((tl_target=$C18)*(tl_sub=Q$4))&gt;0,"S",""))</f>
        <v/>
      </c>
      <c r="R18" s="69" t="str">
        <f aca="false">_xlfn.TEXTJOIN(", ",TRUE(),IF(SUMPRODUCT((tl_target=$C18)*(tl_principle="PP1"))&gt;0,"PP1",""),IF(SUMPRODUCT((tl_target=$C18)*(tl_principle="PP2"))&gt;0,"PP2",""),IF(SUMPRODUCT((tl_target=$C18)*(tl_principle="PP3"))&gt;0,"PP3",""),IF(SUMPRODUCT((tl_target=$C18)*(tl_principle="PP4"))&gt;0,"PP4",""))</f>
        <v/>
      </c>
      <c r="S18" s="9" t="n">
        <f aca="false">SUMPRODUCT(--(tl_target=$C18))</f>
        <v>0</v>
      </c>
      <c r="T18" s="53" t="str">
        <f aca="false">IF(SUMPRODUCT((tl_target=$C18)*(tl_align="Primary"))&gt;0,"Primary link",IF(S18&gt;0,"Secondary only","Gap"))</f>
        <v>Gap</v>
      </c>
      <c r="U18" s="66"/>
      <c r="V18" s="66"/>
      <c r="W18" s="66"/>
      <c r="X18" s="66"/>
      <c r="Y18" s="66"/>
    </row>
    <row r="19" customFormat="false" ht="35.05" hidden="false" customHeight="false" outlineLevel="0" collapsed="false">
      <c r="A19" s="55" t="n">
        <v>2</v>
      </c>
      <c r="B19" s="5" t="s">
        <v>536</v>
      </c>
      <c r="C19" s="13" t="s">
        <v>630</v>
      </c>
      <c r="D19" s="5" t="s">
        <v>612</v>
      </c>
      <c r="E19" s="5"/>
      <c r="F19" s="5" t="s">
        <v>631</v>
      </c>
      <c r="G19" s="9" t="n">
        <v>1</v>
      </c>
      <c r="H19" s="53" t="str">
        <f aca="false">IF(SUMPRODUCT((tl_target=$C19)*(tl_sub=H$4)*(tl_align="Primary"))&gt;0,"P",IF(SUMPRODUCT((tl_target=$C19)*(tl_sub=H$4))&gt;0,"S",""))</f>
        <v/>
      </c>
      <c r="I19" s="53" t="str">
        <f aca="false">IF(SUMPRODUCT((tl_target=$C19)*(tl_sub=I$4)*(tl_align="Primary"))&gt;0,"P",IF(SUMPRODUCT((tl_target=$C19)*(tl_sub=I$4))&gt;0,"S",""))</f>
        <v/>
      </c>
      <c r="J19" s="53" t="str">
        <f aca="false">IF(SUMPRODUCT((tl_target=$C19)*(tl_sub=J$4)*(tl_align="Primary"))&gt;0,"P",IF(SUMPRODUCT((tl_target=$C19)*(tl_sub=J$4))&gt;0,"S",""))</f>
        <v/>
      </c>
      <c r="K19" s="53" t="str">
        <f aca="false">IF(SUMPRODUCT((tl_target=$C19)*(tl_sub=K$4)*(tl_align="Primary"))&gt;0,"P",IF(SUMPRODUCT((tl_target=$C19)*(tl_sub=K$4))&gt;0,"S",""))</f>
        <v/>
      </c>
      <c r="L19" s="53" t="str">
        <f aca="false">IF(SUMPRODUCT((tl_target=$C19)*(tl_sub=L$4)*(tl_align="Primary"))&gt;0,"P",IF(SUMPRODUCT((tl_target=$C19)*(tl_sub=L$4))&gt;0,"S",""))</f>
        <v/>
      </c>
      <c r="M19" s="53" t="str">
        <f aca="false">IF(SUMPRODUCT((tl_target=$C19)*(tl_sub=M$4)*(tl_align="Primary"))&gt;0,"P",IF(SUMPRODUCT((tl_target=$C19)*(tl_sub=M$4))&gt;0,"S",""))</f>
        <v/>
      </c>
      <c r="N19" s="53" t="str">
        <f aca="false">IF(SUMPRODUCT((tl_target=$C19)*(tl_sub=N$4)*(tl_align="Primary"))&gt;0,"P",IF(SUMPRODUCT((tl_target=$C19)*(tl_sub=N$4))&gt;0,"S",""))</f>
        <v/>
      </c>
      <c r="O19" s="53" t="str">
        <f aca="false">IF(SUMPRODUCT((tl_target=$C19)*(tl_sub=O$4)*(tl_align="Primary"))&gt;0,"P",IF(SUMPRODUCT((tl_target=$C19)*(tl_sub=O$4))&gt;0,"S",""))</f>
        <v/>
      </c>
      <c r="P19" s="53" t="str">
        <f aca="false">IF(SUMPRODUCT((tl_target=$C19)*(tl_sub=P$4)*(tl_align="Primary"))&gt;0,"P",IF(SUMPRODUCT((tl_target=$C19)*(tl_sub=P$4))&gt;0,"S",""))</f>
        <v/>
      </c>
      <c r="Q19" s="53" t="str">
        <f aca="false">IF(SUMPRODUCT((tl_target=$C19)*(tl_sub=Q$4)*(tl_align="Primary"))&gt;0,"P",IF(SUMPRODUCT((tl_target=$C19)*(tl_sub=Q$4))&gt;0,"S",""))</f>
        <v/>
      </c>
      <c r="R19" s="69" t="str">
        <f aca="false">_xlfn.TEXTJOIN(", ",TRUE(),IF(SUMPRODUCT((tl_target=$C19)*(tl_principle="PP1"))&gt;0,"PP1",""),IF(SUMPRODUCT((tl_target=$C19)*(tl_principle="PP2"))&gt;0,"PP2",""),IF(SUMPRODUCT((tl_target=$C19)*(tl_principle="PP3"))&gt;0,"PP3",""),IF(SUMPRODUCT((tl_target=$C19)*(tl_principle="PP4"))&gt;0,"PP4",""))</f>
        <v/>
      </c>
      <c r="S19" s="9" t="n">
        <f aca="false">SUMPRODUCT(--(tl_target=$C19))</f>
        <v>0</v>
      </c>
      <c r="T19" s="53" t="str">
        <f aca="false">IF(SUMPRODUCT((tl_target=$C19)*(tl_align="Primary"))&gt;0,"Primary link",IF(S19&gt;0,"Secondary only","Gap"))</f>
        <v>Gap</v>
      </c>
      <c r="U19" s="66"/>
      <c r="V19" s="66"/>
      <c r="W19" s="66"/>
      <c r="X19" s="66"/>
      <c r="Y19" s="66"/>
    </row>
    <row r="20" customFormat="false" ht="23.85" hidden="false" customHeight="false" outlineLevel="0" collapsed="false">
      <c r="A20" s="56" t="n">
        <v>3</v>
      </c>
      <c r="B20" s="5" t="s">
        <v>539</v>
      </c>
      <c r="C20" s="13" t="s">
        <v>632</v>
      </c>
      <c r="D20" s="5" t="s">
        <v>499</v>
      </c>
      <c r="E20" s="5"/>
      <c r="F20" s="5" t="s">
        <v>633</v>
      </c>
      <c r="G20" s="9" t="n">
        <v>2</v>
      </c>
      <c r="H20" s="53" t="str">
        <f aca="false">IF(SUMPRODUCT((tl_target=$C20)*(tl_sub=H$4)*(tl_align="Primary"))&gt;0,"P",IF(SUMPRODUCT((tl_target=$C20)*(tl_sub=H$4))&gt;0,"S",""))</f>
        <v/>
      </c>
      <c r="I20" s="53" t="str">
        <f aca="false">IF(SUMPRODUCT((tl_target=$C20)*(tl_sub=I$4)*(tl_align="Primary"))&gt;0,"P",IF(SUMPRODUCT((tl_target=$C20)*(tl_sub=I$4))&gt;0,"S",""))</f>
        <v/>
      </c>
      <c r="J20" s="53" t="str">
        <f aca="false">IF(SUMPRODUCT((tl_target=$C20)*(tl_sub=J$4)*(tl_align="Primary"))&gt;0,"P",IF(SUMPRODUCT((tl_target=$C20)*(tl_sub=J$4))&gt;0,"S",""))</f>
        <v/>
      </c>
      <c r="K20" s="53" t="str">
        <f aca="false">IF(SUMPRODUCT((tl_target=$C20)*(tl_sub=K$4)*(tl_align="Primary"))&gt;0,"P",IF(SUMPRODUCT((tl_target=$C20)*(tl_sub=K$4))&gt;0,"S",""))</f>
        <v/>
      </c>
      <c r="L20" s="53" t="str">
        <f aca="false">IF(SUMPRODUCT((tl_target=$C20)*(tl_sub=L$4)*(tl_align="Primary"))&gt;0,"P",IF(SUMPRODUCT((tl_target=$C20)*(tl_sub=L$4))&gt;0,"S",""))</f>
        <v/>
      </c>
      <c r="M20" s="53" t="str">
        <f aca="false">IF(SUMPRODUCT((tl_target=$C20)*(tl_sub=M$4)*(tl_align="Primary"))&gt;0,"P",IF(SUMPRODUCT((tl_target=$C20)*(tl_sub=M$4))&gt;0,"S",""))</f>
        <v/>
      </c>
      <c r="N20" s="53" t="str">
        <f aca="false">IF(SUMPRODUCT((tl_target=$C20)*(tl_sub=N$4)*(tl_align="Primary"))&gt;0,"P",IF(SUMPRODUCT((tl_target=$C20)*(tl_sub=N$4))&gt;0,"S",""))</f>
        <v/>
      </c>
      <c r="O20" s="53" t="str">
        <f aca="false">IF(SUMPRODUCT((tl_target=$C20)*(tl_sub=O$4)*(tl_align="Primary"))&gt;0,"P",IF(SUMPRODUCT((tl_target=$C20)*(tl_sub=O$4))&gt;0,"S",""))</f>
        <v/>
      </c>
      <c r="P20" s="53" t="str">
        <f aca="false">IF(SUMPRODUCT((tl_target=$C20)*(tl_sub=P$4)*(tl_align="Primary"))&gt;0,"P",IF(SUMPRODUCT((tl_target=$C20)*(tl_sub=P$4))&gt;0,"S",""))</f>
        <v/>
      </c>
      <c r="Q20" s="53" t="str">
        <f aca="false">IF(SUMPRODUCT((tl_target=$C20)*(tl_sub=Q$4)*(tl_align="Primary"))&gt;0,"P",IF(SUMPRODUCT((tl_target=$C20)*(tl_sub=Q$4))&gt;0,"S",""))</f>
        <v/>
      </c>
      <c r="R20" s="69" t="str">
        <f aca="false">_xlfn.TEXTJOIN(", ",TRUE(),IF(SUMPRODUCT((tl_target=$C20)*(tl_principle="PP1"))&gt;0,"PP1",""),IF(SUMPRODUCT((tl_target=$C20)*(tl_principle="PP2"))&gt;0,"PP2",""),IF(SUMPRODUCT((tl_target=$C20)*(tl_principle="PP3"))&gt;0,"PP3",""),IF(SUMPRODUCT((tl_target=$C20)*(tl_principle="PP4"))&gt;0,"PP4",""))</f>
        <v/>
      </c>
      <c r="S20" s="9" t="n">
        <f aca="false">SUMPRODUCT(--(tl_target=$C20))</f>
        <v>0</v>
      </c>
      <c r="T20" s="53" t="str">
        <f aca="false">IF(SUMPRODUCT((tl_target=$C20)*(tl_align="Primary"))&gt;0,"Primary link",IF(S20&gt;0,"Secondary only","Gap"))</f>
        <v>Gap</v>
      </c>
      <c r="U20" s="66"/>
      <c r="V20" s="66"/>
      <c r="W20" s="66"/>
      <c r="X20" s="66"/>
      <c r="Y20" s="66"/>
    </row>
    <row r="21" customFormat="false" ht="46.25" hidden="false" customHeight="false" outlineLevel="0" collapsed="false">
      <c r="A21" s="56" t="n">
        <v>3</v>
      </c>
      <c r="B21" s="5" t="s">
        <v>539</v>
      </c>
      <c r="C21" s="13" t="s">
        <v>634</v>
      </c>
      <c r="D21" s="5" t="s">
        <v>499</v>
      </c>
      <c r="E21" s="5"/>
      <c r="F21" s="5" t="s">
        <v>635</v>
      </c>
      <c r="G21" s="9" t="n">
        <v>2</v>
      </c>
      <c r="H21" s="53" t="str">
        <f aca="false">IF(SUMPRODUCT((tl_target=$C21)*(tl_sub=H$4)*(tl_align="Primary"))&gt;0,"P",IF(SUMPRODUCT((tl_target=$C21)*(tl_sub=H$4))&gt;0,"S",""))</f>
        <v/>
      </c>
      <c r="I21" s="53" t="str">
        <f aca="false">IF(SUMPRODUCT((tl_target=$C21)*(tl_sub=I$4)*(tl_align="Primary"))&gt;0,"P",IF(SUMPRODUCT((tl_target=$C21)*(tl_sub=I$4))&gt;0,"S",""))</f>
        <v/>
      </c>
      <c r="J21" s="53" t="str">
        <f aca="false">IF(SUMPRODUCT((tl_target=$C21)*(tl_sub=J$4)*(tl_align="Primary"))&gt;0,"P",IF(SUMPRODUCT((tl_target=$C21)*(tl_sub=J$4))&gt;0,"S",""))</f>
        <v/>
      </c>
      <c r="K21" s="53" t="str">
        <f aca="false">IF(SUMPRODUCT((tl_target=$C21)*(tl_sub=K$4)*(tl_align="Primary"))&gt;0,"P",IF(SUMPRODUCT((tl_target=$C21)*(tl_sub=K$4))&gt;0,"S",""))</f>
        <v/>
      </c>
      <c r="L21" s="53" t="str">
        <f aca="false">IF(SUMPRODUCT((tl_target=$C21)*(tl_sub=L$4)*(tl_align="Primary"))&gt;0,"P",IF(SUMPRODUCT((tl_target=$C21)*(tl_sub=L$4))&gt;0,"S",""))</f>
        <v/>
      </c>
      <c r="M21" s="53" t="str">
        <f aca="false">IF(SUMPRODUCT((tl_target=$C21)*(tl_sub=M$4)*(tl_align="Primary"))&gt;0,"P",IF(SUMPRODUCT((tl_target=$C21)*(tl_sub=M$4))&gt;0,"S",""))</f>
        <v/>
      </c>
      <c r="N21" s="53" t="str">
        <f aca="false">IF(SUMPRODUCT((tl_target=$C21)*(tl_sub=N$4)*(tl_align="Primary"))&gt;0,"P",IF(SUMPRODUCT((tl_target=$C21)*(tl_sub=N$4))&gt;0,"S",""))</f>
        <v/>
      </c>
      <c r="O21" s="53" t="str">
        <f aca="false">IF(SUMPRODUCT((tl_target=$C21)*(tl_sub=O$4)*(tl_align="Primary"))&gt;0,"P",IF(SUMPRODUCT((tl_target=$C21)*(tl_sub=O$4))&gt;0,"S",""))</f>
        <v/>
      </c>
      <c r="P21" s="53" t="str">
        <f aca="false">IF(SUMPRODUCT((tl_target=$C21)*(tl_sub=P$4)*(tl_align="Primary"))&gt;0,"P",IF(SUMPRODUCT((tl_target=$C21)*(tl_sub=P$4))&gt;0,"S",""))</f>
        <v/>
      </c>
      <c r="Q21" s="53" t="str">
        <f aca="false">IF(SUMPRODUCT((tl_target=$C21)*(tl_sub=Q$4)*(tl_align="Primary"))&gt;0,"P",IF(SUMPRODUCT((tl_target=$C21)*(tl_sub=Q$4))&gt;0,"S",""))</f>
        <v/>
      </c>
      <c r="R21" s="69" t="str">
        <f aca="false">_xlfn.TEXTJOIN(", ",TRUE(),IF(SUMPRODUCT((tl_target=$C21)*(tl_principle="PP1"))&gt;0,"PP1",""),IF(SUMPRODUCT((tl_target=$C21)*(tl_principle="PP2"))&gt;0,"PP2",""),IF(SUMPRODUCT((tl_target=$C21)*(tl_principle="PP3"))&gt;0,"PP3",""),IF(SUMPRODUCT((tl_target=$C21)*(tl_principle="PP4"))&gt;0,"PP4",""))</f>
        <v/>
      </c>
      <c r="S21" s="9" t="n">
        <f aca="false">SUMPRODUCT(--(tl_target=$C21))</f>
        <v>0</v>
      </c>
      <c r="T21" s="53" t="str">
        <f aca="false">IF(SUMPRODUCT((tl_target=$C21)*(tl_align="Primary"))&gt;0,"Primary link",IF(S21&gt;0,"Secondary only","Gap"))</f>
        <v>Gap</v>
      </c>
      <c r="U21" s="66"/>
      <c r="V21" s="66"/>
      <c r="W21" s="66"/>
      <c r="X21" s="66"/>
      <c r="Y21" s="66"/>
    </row>
    <row r="22" customFormat="false" ht="35.05" hidden="false" customHeight="false" outlineLevel="0" collapsed="false">
      <c r="A22" s="56" t="n">
        <v>3</v>
      </c>
      <c r="B22" s="5" t="s">
        <v>539</v>
      </c>
      <c r="C22" s="13" t="s">
        <v>636</v>
      </c>
      <c r="D22" s="5" t="s">
        <v>499</v>
      </c>
      <c r="E22" s="5"/>
      <c r="F22" s="5" t="s">
        <v>637</v>
      </c>
      <c r="G22" s="9" t="n">
        <v>5</v>
      </c>
      <c r="H22" s="53" t="str">
        <f aca="false">IF(SUMPRODUCT((tl_target=$C22)*(tl_sub=H$4)*(tl_align="Primary"))&gt;0,"P",IF(SUMPRODUCT((tl_target=$C22)*(tl_sub=H$4))&gt;0,"S",""))</f>
        <v/>
      </c>
      <c r="I22" s="53" t="str">
        <f aca="false">IF(SUMPRODUCT((tl_target=$C22)*(tl_sub=I$4)*(tl_align="Primary"))&gt;0,"P",IF(SUMPRODUCT((tl_target=$C22)*(tl_sub=I$4))&gt;0,"S",""))</f>
        <v/>
      </c>
      <c r="J22" s="53" t="str">
        <f aca="false">IF(SUMPRODUCT((tl_target=$C22)*(tl_sub=J$4)*(tl_align="Primary"))&gt;0,"P",IF(SUMPRODUCT((tl_target=$C22)*(tl_sub=J$4))&gt;0,"S",""))</f>
        <v/>
      </c>
      <c r="K22" s="53" t="str">
        <f aca="false">IF(SUMPRODUCT((tl_target=$C22)*(tl_sub=K$4)*(tl_align="Primary"))&gt;0,"P",IF(SUMPRODUCT((tl_target=$C22)*(tl_sub=K$4))&gt;0,"S",""))</f>
        <v/>
      </c>
      <c r="L22" s="53" t="str">
        <f aca="false">IF(SUMPRODUCT((tl_target=$C22)*(tl_sub=L$4)*(tl_align="Primary"))&gt;0,"P",IF(SUMPRODUCT((tl_target=$C22)*(tl_sub=L$4))&gt;0,"S",""))</f>
        <v/>
      </c>
      <c r="M22" s="53" t="str">
        <f aca="false">IF(SUMPRODUCT((tl_target=$C22)*(tl_sub=M$4)*(tl_align="Primary"))&gt;0,"P",IF(SUMPRODUCT((tl_target=$C22)*(tl_sub=M$4))&gt;0,"S",""))</f>
        <v/>
      </c>
      <c r="N22" s="53" t="str">
        <f aca="false">IF(SUMPRODUCT((tl_target=$C22)*(tl_sub=N$4)*(tl_align="Primary"))&gt;0,"P",IF(SUMPRODUCT((tl_target=$C22)*(tl_sub=N$4))&gt;0,"S",""))</f>
        <v/>
      </c>
      <c r="O22" s="53" t="str">
        <f aca="false">IF(SUMPRODUCT((tl_target=$C22)*(tl_sub=O$4)*(tl_align="Primary"))&gt;0,"P",IF(SUMPRODUCT((tl_target=$C22)*(tl_sub=O$4))&gt;0,"S",""))</f>
        <v/>
      </c>
      <c r="P22" s="53" t="str">
        <f aca="false">IF(SUMPRODUCT((tl_target=$C22)*(tl_sub=P$4)*(tl_align="Primary"))&gt;0,"P",IF(SUMPRODUCT((tl_target=$C22)*(tl_sub=P$4))&gt;0,"S",""))</f>
        <v/>
      </c>
      <c r="Q22" s="53" t="str">
        <f aca="false">IF(SUMPRODUCT((tl_target=$C22)*(tl_sub=Q$4)*(tl_align="Primary"))&gt;0,"P",IF(SUMPRODUCT((tl_target=$C22)*(tl_sub=Q$4))&gt;0,"S",""))</f>
        <v/>
      </c>
      <c r="R22" s="69" t="str">
        <f aca="false">_xlfn.TEXTJOIN(", ",TRUE(),IF(SUMPRODUCT((tl_target=$C22)*(tl_principle="PP1"))&gt;0,"PP1",""),IF(SUMPRODUCT((tl_target=$C22)*(tl_principle="PP2"))&gt;0,"PP2",""),IF(SUMPRODUCT((tl_target=$C22)*(tl_principle="PP3"))&gt;0,"PP3",""),IF(SUMPRODUCT((tl_target=$C22)*(tl_principle="PP4"))&gt;0,"PP4",""))</f>
        <v/>
      </c>
      <c r="S22" s="9" t="n">
        <f aca="false">SUMPRODUCT(--(tl_target=$C22))</f>
        <v>0</v>
      </c>
      <c r="T22" s="53" t="str">
        <f aca="false">IF(SUMPRODUCT((tl_target=$C22)*(tl_align="Primary"))&gt;0,"Primary link",IF(S22&gt;0,"Secondary only","Gap"))</f>
        <v>Gap</v>
      </c>
      <c r="U22" s="66"/>
      <c r="V22" s="66"/>
      <c r="W22" s="66"/>
      <c r="X22" s="66"/>
      <c r="Y22" s="66"/>
    </row>
    <row r="23" customFormat="false" ht="35.05" hidden="false" customHeight="false" outlineLevel="0" collapsed="false">
      <c r="A23" s="56" t="n">
        <v>3</v>
      </c>
      <c r="B23" s="5" t="s">
        <v>539</v>
      </c>
      <c r="C23" s="13" t="s">
        <v>638</v>
      </c>
      <c r="D23" s="5" t="s">
        <v>499</v>
      </c>
      <c r="E23" s="5"/>
      <c r="F23" s="5" t="s">
        <v>639</v>
      </c>
      <c r="G23" s="9" t="n">
        <v>2</v>
      </c>
      <c r="H23" s="53" t="str">
        <f aca="false">IF(SUMPRODUCT((tl_target=$C23)*(tl_sub=H$4)*(tl_align="Primary"))&gt;0,"P",IF(SUMPRODUCT((tl_target=$C23)*(tl_sub=H$4))&gt;0,"S",""))</f>
        <v/>
      </c>
      <c r="I23" s="53" t="str">
        <f aca="false">IF(SUMPRODUCT((tl_target=$C23)*(tl_sub=I$4)*(tl_align="Primary"))&gt;0,"P",IF(SUMPRODUCT((tl_target=$C23)*(tl_sub=I$4))&gt;0,"S",""))</f>
        <v/>
      </c>
      <c r="J23" s="53" t="str">
        <f aca="false">IF(SUMPRODUCT((tl_target=$C23)*(tl_sub=J$4)*(tl_align="Primary"))&gt;0,"P",IF(SUMPRODUCT((tl_target=$C23)*(tl_sub=J$4))&gt;0,"S",""))</f>
        <v/>
      </c>
      <c r="K23" s="53" t="str">
        <f aca="false">IF(SUMPRODUCT((tl_target=$C23)*(tl_sub=K$4)*(tl_align="Primary"))&gt;0,"P",IF(SUMPRODUCT((tl_target=$C23)*(tl_sub=K$4))&gt;0,"S",""))</f>
        <v/>
      </c>
      <c r="L23" s="53" t="str">
        <f aca="false">IF(SUMPRODUCT((tl_target=$C23)*(tl_sub=L$4)*(tl_align="Primary"))&gt;0,"P",IF(SUMPRODUCT((tl_target=$C23)*(tl_sub=L$4))&gt;0,"S",""))</f>
        <v/>
      </c>
      <c r="M23" s="53" t="str">
        <f aca="false">IF(SUMPRODUCT((tl_target=$C23)*(tl_sub=M$4)*(tl_align="Primary"))&gt;0,"P",IF(SUMPRODUCT((tl_target=$C23)*(tl_sub=M$4))&gt;0,"S",""))</f>
        <v/>
      </c>
      <c r="N23" s="53" t="str">
        <f aca="false">IF(SUMPRODUCT((tl_target=$C23)*(tl_sub=N$4)*(tl_align="Primary"))&gt;0,"P",IF(SUMPRODUCT((tl_target=$C23)*(tl_sub=N$4))&gt;0,"S",""))</f>
        <v/>
      </c>
      <c r="O23" s="53" t="str">
        <f aca="false">IF(SUMPRODUCT((tl_target=$C23)*(tl_sub=O$4)*(tl_align="Primary"))&gt;0,"P",IF(SUMPRODUCT((tl_target=$C23)*(tl_sub=O$4))&gt;0,"S",""))</f>
        <v/>
      </c>
      <c r="P23" s="53" t="str">
        <f aca="false">IF(SUMPRODUCT((tl_target=$C23)*(tl_sub=P$4)*(tl_align="Primary"))&gt;0,"P",IF(SUMPRODUCT((tl_target=$C23)*(tl_sub=P$4))&gt;0,"S",""))</f>
        <v/>
      </c>
      <c r="Q23" s="53" t="str">
        <f aca="false">IF(SUMPRODUCT((tl_target=$C23)*(tl_sub=Q$4)*(tl_align="Primary"))&gt;0,"P",IF(SUMPRODUCT((tl_target=$C23)*(tl_sub=Q$4))&gt;0,"S",""))</f>
        <v/>
      </c>
      <c r="R23" s="69" t="str">
        <f aca="false">_xlfn.TEXTJOIN(", ",TRUE(),IF(SUMPRODUCT((tl_target=$C23)*(tl_principle="PP1"))&gt;0,"PP1",""),IF(SUMPRODUCT((tl_target=$C23)*(tl_principle="PP2"))&gt;0,"PP2",""),IF(SUMPRODUCT((tl_target=$C23)*(tl_principle="PP3"))&gt;0,"PP3",""),IF(SUMPRODUCT((tl_target=$C23)*(tl_principle="PP4"))&gt;0,"PP4",""))</f>
        <v/>
      </c>
      <c r="S23" s="9" t="n">
        <f aca="false">SUMPRODUCT(--(tl_target=$C23))</f>
        <v>0</v>
      </c>
      <c r="T23" s="53" t="str">
        <f aca="false">IF(SUMPRODUCT((tl_target=$C23)*(tl_align="Primary"))&gt;0,"Primary link",IF(S23&gt;0,"Secondary only","Gap"))</f>
        <v>Gap</v>
      </c>
      <c r="U23" s="66"/>
      <c r="V23" s="66"/>
      <c r="W23" s="66"/>
      <c r="X23" s="66"/>
      <c r="Y23" s="66"/>
    </row>
    <row r="24" customFormat="false" ht="23.85" hidden="false" customHeight="false" outlineLevel="0" collapsed="false">
      <c r="A24" s="56" t="n">
        <v>3</v>
      </c>
      <c r="B24" s="5" t="s">
        <v>539</v>
      </c>
      <c r="C24" s="13" t="s">
        <v>640</v>
      </c>
      <c r="D24" s="5" t="s">
        <v>499</v>
      </c>
      <c r="E24" s="5"/>
      <c r="F24" s="5" t="s">
        <v>641</v>
      </c>
      <c r="G24" s="9" t="n">
        <v>2</v>
      </c>
      <c r="H24" s="53" t="str">
        <f aca="false">IF(SUMPRODUCT((tl_target=$C24)*(tl_sub=H$4)*(tl_align="Primary"))&gt;0,"P",IF(SUMPRODUCT((tl_target=$C24)*(tl_sub=H$4))&gt;0,"S",""))</f>
        <v/>
      </c>
      <c r="I24" s="53" t="str">
        <f aca="false">IF(SUMPRODUCT((tl_target=$C24)*(tl_sub=I$4)*(tl_align="Primary"))&gt;0,"P",IF(SUMPRODUCT((tl_target=$C24)*(tl_sub=I$4))&gt;0,"S",""))</f>
        <v/>
      </c>
      <c r="J24" s="53" t="str">
        <f aca="false">IF(SUMPRODUCT((tl_target=$C24)*(tl_sub=J$4)*(tl_align="Primary"))&gt;0,"P",IF(SUMPRODUCT((tl_target=$C24)*(tl_sub=J$4))&gt;0,"S",""))</f>
        <v/>
      </c>
      <c r="K24" s="53" t="str">
        <f aca="false">IF(SUMPRODUCT((tl_target=$C24)*(tl_sub=K$4)*(tl_align="Primary"))&gt;0,"P",IF(SUMPRODUCT((tl_target=$C24)*(tl_sub=K$4))&gt;0,"S",""))</f>
        <v/>
      </c>
      <c r="L24" s="53" t="str">
        <f aca="false">IF(SUMPRODUCT((tl_target=$C24)*(tl_sub=L$4)*(tl_align="Primary"))&gt;0,"P",IF(SUMPRODUCT((tl_target=$C24)*(tl_sub=L$4))&gt;0,"S",""))</f>
        <v/>
      </c>
      <c r="M24" s="53" t="str">
        <f aca="false">IF(SUMPRODUCT((tl_target=$C24)*(tl_sub=M$4)*(tl_align="Primary"))&gt;0,"P",IF(SUMPRODUCT((tl_target=$C24)*(tl_sub=M$4))&gt;0,"S",""))</f>
        <v/>
      </c>
      <c r="N24" s="53" t="str">
        <f aca="false">IF(SUMPRODUCT((tl_target=$C24)*(tl_sub=N$4)*(tl_align="Primary"))&gt;0,"P",IF(SUMPRODUCT((tl_target=$C24)*(tl_sub=N$4))&gt;0,"S",""))</f>
        <v/>
      </c>
      <c r="O24" s="53" t="str">
        <f aca="false">IF(SUMPRODUCT((tl_target=$C24)*(tl_sub=O$4)*(tl_align="Primary"))&gt;0,"P",IF(SUMPRODUCT((tl_target=$C24)*(tl_sub=O$4))&gt;0,"S",""))</f>
        <v/>
      </c>
      <c r="P24" s="53" t="str">
        <f aca="false">IF(SUMPRODUCT((tl_target=$C24)*(tl_sub=P$4)*(tl_align="Primary"))&gt;0,"P",IF(SUMPRODUCT((tl_target=$C24)*(tl_sub=P$4))&gt;0,"S",""))</f>
        <v/>
      </c>
      <c r="Q24" s="53" t="str">
        <f aca="false">IF(SUMPRODUCT((tl_target=$C24)*(tl_sub=Q$4)*(tl_align="Primary"))&gt;0,"P",IF(SUMPRODUCT((tl_target=$C24)*(tl_sub=Q$4))&gt;0,"S",""))</f>
        <v/>
      </c>
      <c r="R24" s="69" t="str">
        <f aca="false">_xlfn.TEXTJOIN(", ",TRUE(),IF(SUMPRODUCT((tl_target=$C24)*(tl_principle="PP1"))&gt;0,"PP1",""),IF(SUMPRODUCT((tl_target=$C24)*(tl_principle="PP2"))&gt;0,"PP2",""),IF(SUMPRODUCT((tl_target=$C24)*(tl_principle="PP3"))&gt;0,"PP3",""),IF(SUMPRODUCT((tl_target=$C24)*(tl_principle="PP4"))&gt;0,"PP4",""))</f>
        <v/>
      </c>
      <c r="S24" s="9" t="n">
        <f aca="false">SUMPRODUCT(--(tl_target=$C24))</f>
        <v>0</v>
      </c>
      <c r="T24" s="53" t="str">
        <f aca="false">IF(SUMPRODUCT((tl_target=$C24)*(tl_align="Primary"))&gt;0,"Primary link",IF(S24&gt;0,"Secondary only","Gap"))</f>
        <v>Gap</v>
      </c>
      <c r="U24" s="66"/>
      <c r="V24" s="66"/>
      <c r="W24" s="66"/>
      <c r="X24" s="66"/>
      <c r="Y24" s="66"/>
    </row>
    <row r="25" customFormat="false" ht="23.85" hidden="false" customHeight="false" outlineLevel="0" collapsed="false">
      <c r="A25" s="56" t="n">
        <v>3</v>
      </c>
      <c r="B25" s="5" t="s">
        <v>539</v>
      </c>
      <c r="C25" s="13" t="s">
        <v>642</v>
      </c>
      <c r="D25" s="5" t="s">
        <v>499</v>
      </c>
      <c r="E25" s="5"/>
      <c r="F25" s="5" t="s">
        <v>643</v>
      </c>
      <c r="G25" s="9" t="n">
        <v>1</v>
      </c>
      <c r="H25" s="53" t="str">
        <f aca="false">IF(SUMPRODUCT((tl_target=$C25)*(tl_sub=H$4)*(tl_align="Primary"))&gt;0,"P",IF(SUMPRODUCT((tl_target=$C25)*(tl_sub=H$4))&gt;0,"S",""))</f>
        <v/>
      </c>
      <c r="I25" s="53" t="str">
        <f aca="false">IF(SUMPRODUCT((tl_target=$C25)*(tl_sub=I$4)*(tl_align="Primary"))&gt;0,"P",IF(SUMPRODUCT((tl_target=$C25)*(tl_sub=I$4))&gt;0,"S",""))</f>
        <v/>
      </c>
      <c r="J25" s="53" t="str">
        <f aca="false">IF(SUMPRODUCT((tl_target=$C25)*(tl_sub=J$4)*(tl_align="Primary"))&gt;0,"P",IF(SUMPRODUCT((tl_target=$C25)*(tl_sub=J$4))&gt;0,"S",""))</f>
        <v/>
      </c>
      <c r="K25" s="53" t="str">
        <f aca="false">IF(SUMPRODUCT((tl_target=$C25)*(tl_sub=K$4)*(tl_align="Primary"))&gt;0,"P",IF(SUMPRODUCT((tl_target=$C25)*(tl_sub=K$4))&gt;0,"S",""))</f>
        <v/>
      </c>
      <c r="L25" s="53" t="str">
        <f aca="false">IF(SUMPRODUCT((tl_target=$C25)*(tl_sub=L$4)*(tl_align="Primary"))&gt;0,"P",IF(SUMPRODUCT((tl_target=$C25)*(tl_sub=L$4))&gt;0,"S",""))</f>
        <v/>
      </c>
      <c r="M25" s="53" t="str">
        <f aca="false">IF(SUMPRODUCT((tl_target=$C25)*(tl_sub=M$4)*(tl_align="Primary"))&gt;0,"P",IF(SUMPRODUCT((tl_target=$C25)*(tl_sub=M$4))&gt;0,"S",""))</f>
        <v/>
      </c>
      <c r="N25" s="53" t="str">
        <f aca="false">IF(SUMPRODUCT((tl_target=$C25)*(tl_sub=N$4)*(tl_align="Primary"))&gt;0,"P",IF(SUMPRODUCT((tl_target=$C25)*(tl_sub=N$4))&gt;0,"S",""))</f>
        <v/>
      </c>
      <c r="O25" s="53" t="str">
        <f aca="false">IF(SUMPRODUCT((tl_target=$C25)*(tl_sub=O$4)*(tl_align="Primary"))&gt;0,"P",IF(SUMPRODUCT((tl_target=$C25)*(tl_sub=O$4))&gt;0,"S",""))</f>
        <v/>
      </c>
      <c r="P25" s="53" t="str">
        <f aca="false">IF(SUMPRODUCT((tl_target=$C25)*(tl_sub=P$4)*(tl_align="Primary"))&gt;0,"P",IF(SUMPRODUCT((tl_target=$C25)*(tl_sub=P$4))&gt;0,"S",""))</f>
        <v/>
      </c>
      <c r="Q25" s="53" t="str">
        <f aca="false">IF(SUMPRODUCT((tl_target=$C25)*(tl_sub=Q$4)*(tl_align="Primary"))&gt;0,"P",IF(SUMPRODUCT((tl_target=$C25)*(tl_sub=Q$4))&gt;0,"S",""))</f>
        <v/>
      </c>
      <c r="R25" s="69" t="str">
        <f aca="false">_xlfn.TEXTJOIN(", ",TRUE(),IF(SUMPRODUCT((tl_target=$C25)*(tl_principle="PP1"))&gt;0,"PP1",""),IF(SUMPRODUCT((tl_target=$C25)*(tl_principle="PP2"))&gt;0,"PP2",""),IF(SUMPRODUCT((tl_target=$C25)*(tl_principle="PP3"))&gt;0,"PP3",""),IF(SUMPRODUCT((tl_target=$C25)*(tl_principle="PP4"))&gt;0,"PP4",""))</f>
        <v/>
      </c>
      <c r="S25" s="9" t="n">
        <f aca="false">SUMPRODUCT(--(tl_target=$C25))</f>
        <v>0</v>
      </c>
      <c r="T25" s="53" t="str">
        <f aca="false">IF(SUMPRODUCT((tl_target=$C25)*(tl_align="Primary"))&gt;0,"Primary link",IF(S25&gt;0,"Secondary only","Gap"))</f>
        <v>Gap</v>
      </c>
      <c r="U25" s="66"/>
      <c r="V25" s="66"/>
      <c r="W25" s="66"/>
      <c r="X25" s="66"/>
      <c r="Y25" s="66"/>
    </row>
    <row r="26" customFormat="false" ht="35.05" hidden="false" customHeight="false" outlineLevel="0" collapsed="false">
      <c r="A26" s="56" t="n">
        <v>3</v>
      </c>
      <c r="B26" s="5" t="s">
        <v>539</v>
      </c>
      <c r="C26" s="13" t="s">
        <v>644</v>
      </c>
      <c r="D26" s="5" t="s">
        <v>499</v>
      </c>
      <c r="E26" s="5"/>
      <c r="F26" s="5" t="s">
        <v>645</v>
      </c>
      <c r="G26" s="9" t="n">
        <v>2</v>
      </c>
      <c r="H26" s="53" t="str">
        <f aca="false">IF(SUMPRODUCT((tl_target=$C26)*(tl_sub=H$4)*(tl_align="Primary"))&gt;0,"P",IF(SUMPRODUCT((tl_target=$C26)*(tl_sub=H$4))&gt;0,"S",""))</f>
        <v/>
      </c>
      <c r="I26" s="53" t="str">
        <f aca="false">IF(SUMPRODUCT((tl_target=$C26)*(tl_sub=I$4)*(tl_align="Primary"))&gt;0,"P",IF(SUMPRODUCT((tl_target=$C26)*(tl_sub=I$4))&gt;0,"S",""))</f>
        <v/>
      </c>
      <c r="J26" s="53" t="str">
        <f aca="false">IF(SUMPRODUCT((tl_target=$C26)*(tl_sub=J$4)*(tl_align="Primary"))&gt;0,"P",IF(SUMPRODUCT((tl_target=$C26)*(tl_sub=J$4))&gt;0,"S",""))</f>
        <v/>
      </c>
      <c r="K26" s="53" t="str">
        <f aca="false">IF(SUMPRODUCT((tl_target=$C26)*(tl_sub=K$4)*(tl_align="Primary"))&gt;0,"P",IF(SUMPRODUCT((tl_target=$C26)*(tl_sub=K$4))&gt;0,"S",""))</f>
        <v/>
      </c>
      <c r="L26" s="53" t="str">
        <f aca="false">IF(SUMPRODUCT((tl_target=$C26)*(tl_sub=L$4)*(tl_align="Primary"))&gt;0,"P",IF(SUMPRODUCT((tl_target=$C26)*(tl_sub=L$4))&gt;0,"S",""))</f>
        <v/>
      </c>
      <c r="M26" s="53" t="str">
        <f aca="false">IF(SUMPRODUCT((tl_target=$C26)*(tl_sub=M$4)*(tl_align="Primary"))&gt;0,"P",IF(SUMPRODUCT((tl_target=$C26)*(tl_sub=M$4))&gt;0,"S",""))</f>
        <v/>
      </c>
      <c r="N26" s="53" t="str">
        <f aca="false">IF(SUMPRODUCT((tl_target=$C26)*(tl_sub=N$4)*(tl_align="Primary"))&gt;0,"P",IF(SUMPRODUCT((tl_target=$C26)*(tl_sub=N$4))&gt;0,"S",""))</f>
        <v/>
      </c>
      <c r="O26" s="53" t="str">
        <f aca="false">IF(SUMPRODUCT((tl_target=$C26)*(tl_sub=O$4)*(tl_align="Primary"))&gt;0,"P",IF(SUMPRODUCT((tl_target=$C26)*(tl_sub=O$4))&gt;0,"S",""))</f>
        <v/>
      </c>
      <c r="P26" s="53" t="str">
        <f aca="false">IF(SUMPRODUCT((tl_target=$C26)*(tl_sub=P$4)*(tl_align="Primary"))&gt;0,"P",IF(SUMPRODUCT((tl_target=$C26)*(tl_sub=P$4))&gt;0,"S",""))</f>
        <v/>
      </c>
      <c r="Q26" s="53" t="str">
        <f aca="false">IF(SUMPRODUCT((tl_target=$C26)*(tl_sub=Q$4)*(tl_align="Primary"))&gt;0,"P",IF(SUMPRODUCT((tl_target=$C26)*(tl_sub=Q$4))&gt;0,"S",""))</f>
        <v/>
      </c>
      <c r="R26" s="69" t="str">
        <f aca="false">_xlfn.TEXTJOIN(", ",TRUE(),IF(SUMPRODUCT((tl_target=$C26)*(tl_principle="PP1"))&gt;0,"PP1",""),IF(SUMPRODUCT((tl_target=$C26)*(tl_principle="PP2"))&gt;0,"PP2",""),IF(SUMPRODUCT((tl_target=$C26)*(tl_principle="PP3"))&gt;0,"PP3",""),IF(SUMPRODUCT((tl_target=$C26)*(tl_principle="PP4"))&gt;0,"PP4",""))</f>
        <v/>
      </c>
      <c r="S26" s="9" t="n">
        <f aca="false">SUMPRODUCT(--(tl_target=$C26))</f>
        <v>0</v>
      </c>
      <c r="T26" s="53" t="str">
        <f aca="false">IF(SUMPRODUCT((tl_target=$C26)*(tl_align="Primary"))&gt;0,"Primary link",IF(S26&gt;0,"Secondary only","Gap"))</f>
        <v>Gap</v>
      </c>
      <c r="U26" s="66"/>
      <c r="V26" s="66"/>
      <c r="W26" s="66"/>
      <c r="X26" s="66"/>
      <c r="Y26" s="66"/>
    </row>
    <row r="27" customFormat="false" ht="35.05" hidden="false" customHeight="false" outlineLevel="0" collapsed="false">
      <c r="A27" s="56" t="n">
        <v>3</v>
      </c>
      <c r="B27" s="5" t="s">
        <v>539</v>
      </c>
      <c r="C27" s="13" t="s">
        <v>646</v>
      </c>
      <c r="D27" s="5" t="s">
        <v>499</v>
      </c>
      <c r="E27" s="5"/>
      <c r="F27" s="5" t="s">
        <v>647</v>
      </c>
      <c r="G27" s="9" t="n">
        <v>2</v>
      </c>
      <c r="H27" s="53" t="str">
        <f aca="false">IF(SUMPRODUCT((tl_target=$C27)*(tl_sub=H$4)*(tl_align="Primary"))&gt;0,"P",IF(SUMPRODUCT((tl_target=$C27)*(tl_sub=H$4))&gt;0,"S",""))</f>
        <v/>
      </c>
      <c r="I27" s="53" t="str">
        <f aca="false">IF(SUMPRODUCT((tl_target=$C27)*(tl_sub=I$4)*(tl_align="Primary"))&gt;0,"P",IF(SUMPRODUCT((tl_target=$C27)*(tl_sub=I$4))&gt;0,"S",""))</f>
        <v/>
      </c>
      <c r="J27" s="53" t="str">
        <f aca="false">IF(SUMPRODUCT((tl_target=$C27)*(tl_sub=J$4)*(tl_align="Primary"))&gt;0,"P",IF(SUMPRODUCT((tl_target=$C27)*(tl_sub=J$4))&gt;0,"S",""))</f>
        <v/>
      </c>
      <c r="K27" s="53" t="str">
        <f aca="false">IF(SUMPRODUCT((tl_target=$C27)*(tl_sub=K$4)*(tl_align="Primary"))&gt;0,"P",IF(SUMPRODUCT((tl_target=$C27)*(tl_sub=K$4))&gt;0,"S",""))</f>
        <v/>
      </c>
      <c r="L27" s="53" t="str">
        <f aca="false">IF(SUMPRODUCT((tl_target=$C27)*(tl_sub=L$4)*(tl_align="Primary"))&gt;0,"P",IF(SUMPRODUCT((tl_target=$C27)*(tl_sub=L$4))&gt;0,"S",""))</f>
        <v/>
      </c>
      <c r="M27" s="53" t="str">
        <f aca="false">IF(SUMPRODUCT((tl_target=$C27)*(tl_sub=M$4)*(tl_align="Primary"))&gt;0,"P",IF(SUMPRODUCT((tl_target=$C27)*(tl_sub=M$4))&gt;0,"S",""))</f>
        <v/>
      </c>
      <c r="N27" s="53" t="str">
        <f aca="false">IF(SUMPRODUCT((tl_target=$C27)*(tl_sub=N$4)*(tl_align="Primary"))&gt;0,"P",IF(SUMPRODUCT((tl_target=$C27)*(tl_sub=N$4))&gt;0,"S",""))</f>
        <v/>
      </c>
      <c r="O27" s="53" t="str">
        <f aca="false">IF(SUMPRODUCT((tl_target=$C27)*(tl_sub=O$4)*(tl_align="Primary"))&gt;0,"P",IF(SUMPRODUCT((tl_target=$C27)*(tl_sub=O$4))&gt;0,"S",""))</f>
        <v/>
      </c>
      <c r="P27" s="53" t="str">
        <f aca="false">IF(SUMPRODUCT((tl_target=$C27)*(tl_sub=P$4)*(tl_align="Primary"))&gt;0,"P",IF(SUMPRODUCT((tl_target=$C27)*(tl_sub=P$4))&gt;0,"S",""))</f>
        <v/>
      </c>
      <c r="Q27" s="53" t="str">
        <f aca="false">IF(SUMPRODUCT((tl_target=$C27)*(tl_sub=Q$4)*(tl_align="Primary"))&gt;0,"P",IF(SUMPRODUCT((tl_target=$C27)*(tl_sub=Q$4))&gt;0,"S",""))</f>
        <v/>
      </c>
      <c r="R27" s="69" t="str">
        <f aca="false">_xlfn.TEXTJOIN(", ",TRUE(),IF(SUMPRODUCT((tl_target=$C27)*(tl_principle="PP1"))&gt;0,"PP1",""),IF(SUMPRODUCT((tl_target=$C27)*(tl_principle="PP2"))&gt;0,"PP2",""),IF(SUMPRODUCT((tl_target=$C27)*(tl_principle="PP3"))&gt;0,"PP3",""),IF(SUMPRODUCT((tl_target=$C27)*(tl_principle="PP4"))&gt;0,"PP4",""))</f>
        <v/>
      </c>
      <c r="S27" s="9" t="n">
        <f aca="false">SUMPRODUCT(--(tl_target=$C27))</f>
        <v>0</v>
      </c>
      <c r="T27" s="53" t="str">
        <f aca="false">IF(SUMPRODUCT((tl_target=$C27)*(tl_align="Primary"))&gt;0,"Primary link",IF(S27&gt;0,"Secondary only","Gap"))</f>
        <v>Gap</v>
      </c>
      <c r="U27" s="66"/>
      <c r="V27" s="66"/>
      <c r="W27" s="66"/>
      <c r="X27" s="66"/>
      <c r="Y27" s="66"/>
    </row>
    <row r="28" customFormat="false" ht="23.85" hidden="false" customHeight="false" outlineLevel="0" collapsed="false">
      <c r="A28" s="56" t="n">
        <v>3</v>
      </c>
      <c r="B28" s="5" t="s">
        <v>539</v>
      </c>
      <c r="C28" s="13" t="s">
        <v>648</v>
      </c>
      <c r="D28" s="5" t="s">
        <v>499</v>
      </c>
      <c r="E28" s="5"/>
      <c r="F28" s="5" t="s">
        <v>649</v>
      </c>
      <c r="G28" s="9" t="n">
        <v>3</v>
      </c>
      <c r="H28" s="53" t="str">
        <f aca="false">IF(SUMPRODUCT((tl_target=$C28)*(tl_sub=H$4)*(tl_align="Primary"))&gt;0,"P",IF(SUMPRODUCT((tl_target=$C28)*(tl_sub=H$4))&gt;0,"S",""))</f>
        <v/>
      </c>
      <c r="I28" s="53" t="str">
        <f aca="false">IF(SUMPRODUCT((tl_target=$C28)*(tl_sub=I$4)*(tl_align="Primary"))&gt;0,"P",IF(SUMPRODUCT((tl_target=$C28)*(tl_sub=I$4))&gt;0,"S",""))</f>
        <v/>
      </c>
      <c r="J28" s="53" t="str">
        <f aca="false">IF(SUMPRODUCT((tl_target=$C28)*(tl_sub=J$4)*(tl_align="Primary"))&gt;0,"P",IF(SUMPRODUCT((tl_target=$C28)*(tl_sub=J$4))&gt;0,"S",""))</f>
        <v/>
      </c>
      <c r="K28" s="53" t="str">
        <f aca="false">IF(SUMPRODUCT((tl_target=$C28)*(tl_sub=K$4)*(tl_align="Primary"))&gt;0,"P",IF(SUMPRODUCT((tl_target=$C28)*(tl_sub=K$4))&gt;0,"S",""))</f>
        <v/>
      </c>
      <c r="L28" s="53" t="str">
        <f aca="false">IF(SUMPRODUCT((tl_target=$C28)*(tl_sub=L$4)*(tl_align="Primary"))&gt;0,"P",IF(SUMPRODUCT((tl_target=$C28)*(tl_sub=L$4))&gt;0,"S",""))</f>
        <v/>
      </c>
      <c r="M28" s="53" t="str">
        <f aca="false">IF(SUMPRODUCT((tl_target=$C28)*(tl_sub=M$4)*(tl_align="Primary"))&gt;0,"P",IF(SUMPRODUCT((tl_target=$C28)*(tl_sub=M$4))&gt;0,"S",""))</f>
        <v/>
      </c>
      <c r="N28" s="53" t="str">
        <f aca="false">IF(SUMPRODUCT((tl_target=$C28)*(tl_sub=N$4)*(tl_align="Primary"))&gt;0,"P",IF(SUMPRODUCT((tl_target=$C28)*(tl_sub=N$4))&gt;0,"S",""))</f>
        <v/>
      </c>
      <c r="O28" s="53" t="str">
        <f aca="false">IF(SUMPRODUCT((tl_target=$C28)*(tl_sub=O$4)*(tl_align="Primary"))&gt;0,"P",IF(SUMPRODUCT((tl_target=$C28)*(tl_sub=O$4))&gt;0,"S",""))</f>
        <v/>
      </c>
      <c r="P28" s="53" t="str">
        <f aca="false">IF(SUMPRODUCT((tl_target=$C28)*(tl_sub=P$4)*(tl_align="Primary"))&gt;0,"P",IF(SUMPRODUCT((tl_target=$C28)*(tl_sub=P$4))&gt;0,"S",""))</f>
        <v/>
      </c>
      <c r="Q28" s="53" t="str">
        <f aca="false">IF(SUMPRODUCT((tl_target=$C28)*(tl_sub=Q$4)*(tl_align="Primary"))&gt;0,"P",IF(SUMPRODUCT((tl_target=$C28)*(tl_sub=Q$4))&gt;0,"S",""))</f>
        <v/>
      </c>
      <c r="R28" s="69" t="str">
        <f aca="false">_xlfn.TEXTJOIN(", ",TRUE(),IF(SUMPRODUCT((tl_target=$C28)*(tl_principle="PP1"))&gt;0,"PP1",""),IF(SUMPRODUCT((tl_target=$C28)*(tl_principle="PP2"))&gt;0,"PP2",""),IF(SUMPRODUCT((tl_target=$C28)*(tl_principle="PP3"))&gt;0,"PP3",""),IF(SUMPRODUCT((tl_target=$C28)*(tl_principle="PP4"))&gt;0,"PP4",""))</f>
        <v/>
      </c>
      <c r="S28" s="9" t="n">
        <f aca="false">SUMPRODUCT(--(tl_target=$C28))</f>
        <v>0</v>
      </c>
      <c r="T28" s="53" t="str">
        <f aca="false">IF(SUMPRODUCT((tl_target=$C28)*(tl_align="Primary"))&gt;0,"Primary link",IF(S28&gt;0,"Secondary only","Gap"))</f>
        <v>Gap</v>
      </c>
      <c r="U28" s="66"/>
      <c r="V28" s="66"/>
      <c r="W28" s="66"/>
      <c r="X28" s="66"/>
      <c r="Y28" s="66"/>
    </row>
    <row r="29" customFormat="false" ht="23.85" hidden="false" customHeight="false" outlineLevel="0" collapsed="false">
      <c r="A29" s="56" t="n">
        <v>3</v>
      </c>
      <c r="B29" s="5" t="s">
        <v>539</v>
      </c>
      <c r="C29" s="13" t="s">
        <v>650</v>
      </c>
      <c r="D29" s="5" t="s">
        <v>612</v>
      </c>
      <c r="E29" s="5"/>
      <c r="F29" s="5" t="s">
        <v>651</v>
      </c>
      <c r="G29" s="9" t="n">
        <v>1</v>
      </c>
      <c r="H29" s="53" t="str">
        <f aca="false">IF(SUMPRODUCT((tl_target=$C29)*(tl_sub=H$4)*(tl_align="Primary"))&gt;0,"P",IF(SUMPRODUCT((tl_target=$C29)*(tl_sub=H$4))&gt;0,"S",""))</f>
        <v/>
      </c>
      <c r="I29" s="53" t="str">
        <f aca="false">IF(SUMPRODUCT((tl_target=$C29)*(tl_sub=I$4)*(tl_align="Primary"))&gt;0,"P",IF(SUMPRODUCT((tl_target=$C29)*(tl_sub=I$4))&gt;0,"S",""))</f>
        <v/>
      </c>
      <c r="J29" s="53" t="str">
        <f aca="false">IF(SUMPRODUCT((tl_target=$C29)*(tl_sub=J$4)*(tl_align="Primary"))&gt;0,"P",IF(SUMPRODUCT((tl_target=$C29)*(tl_sub=J$4))&gt;0,"S",""))</f>
        <v/>
      </c>
      <c r="K29" s="53" t="str">
        <f aca="false">IF(SUMPRODUCT((tl_target=$C29)*(tl_sub=K$4)*(tl_align="Primary"))&gt;0,"P",IF(SUMPRODUCT((tl_target=$C29)*(tl_sub=K$4))&gt;0,"S",""))</f>
        <v/>
      </c>
      <c r="L29" s="53" t="str">
        <f aca="false">IF(SUMPRODUCT((tl_target=$C29)*(tl_sub=L$4)*(tl_align="Primary"))&gt;0,"P",IF(SUMPRODUCT((tl_target=$C29)*(tl_sub=L$4))&gt;0,"S",""))</f>
        <v/>
      </c>
      <c r="M29" s="53" t="str">
        <f aca="false">IF(SUMPRODUCT((tl_target=$C29)*(tl_sub=M$4)*(tl_align="Primary"))&gt;0,"P",IF(SUMPRODUCT((tl_target=$C29)*(tl_sub=M$4))&gt;0,"S",""))</f>
        <v/>
      </c>
      <c r="N29" s="53" t="str">
        <f aca="false">IF(SUMPRODUCT((tl_target=$C29)*(tl_sub=N$4)*(tl_align="Primary"))&gt;0,"P",IF(SUMPRODUCT((tl_target=$C29)*(tl_sub=N$4))&gt;0,"S",""))</f>
        <v/>
      </c>
      <c r="O29" s="53" t="str">
        <f aca="false">IF(SUMPRODUCT((tl_target=$C29)*(tl_sub=O$4)*(tl_align="Primary"))&gt;0,"P",IF(SUMPRODUCT((tl_target=$C29)*(tl_sub=O$4))&gt;0,"S",""))</f>
        <v/>
      </c>
      <c r="P29" s="53" t="str">
        <f aca="false">IF(SUMPRODUCT((tl_target=$C29)*(tl_sub=P$4)*(tl_align="Primary"))&gt;0,"P",IF(SUMPRODUCT((tl_target=$C29)*(tl_sub=P$4))&gt;0,"S",""))</f>
        <v/>
      </c>
      <c r="Q29" s="53" t="str">
        <f aca="false">IF(SUMPRODUCT((tl_target=$C29)*(tl_sub=Q$4)*(tl_align="Primary"))&gt;0,"P",IF(SUMPRODUCT((tl_target=$C29)*(tl_sub=Q$4))&gt;0,"S",""))</f>
        <v/>
      </c>
      <c r="R29" s="69" t="str">
        <f aca="false">_xlfn.TEXTJOIN(", ",TRUE(),IF(SUMPRODUCT((tl_target=$C29)*(tl_principle="PP1"))&gt;0,"PP1",""),IF(SUMPRODUCT((tl_target=$C29)*(tl_principle="PP2"))&gt;0,"PP2",""),IF(SUMPRODUCT((tl_target=$C29)*(tl_principle="PP3"))&gt;0,"PP3",""),IF(SUMPRODUCT((tl_target=$C29)*(tl_principle="PP4"))&gt;0,"PP4",""))</f>
        <v/>
      </c>
      <c r="S29" s="9" t="n">
        <f aca="false">SUMPRODUCT(--(tl_target=$C29))</f>
        <v>0</v>
      </c>
      <c r="T29" s="53" t="str">
        <f aca="false">IF(SUMPRODUCT((tl_target=$C29)*(tl_align="Primary"))&gt;0,"Primary link",IF(S29&gt;0,"Secondary only","Gap"))</f>
        <v>Gap</v>
      </c>
      <c r="U29" s="66"/>
      <c r="V29" s="66"/>
      <c r="W29" s="66"/>
      <c r="X29" s="66"/>
      <c r="Y29" s="66"/>
    </row>
    <row r="30" customFormat="false" ht="91" hidden="false" customHeight="false" outlineLevel="0" collapsed="false">
      <c r="A30" s="56" t="n">
        <v>3</v>
      </c>
      <c r="B30" s="5" t="s">
        <v>539</v>
      </c>
      <c r="C30" s="13" t="s">
        <v>652</v>
      </c>
      <c r="D30" s="5" t="s">
        <v>612</v>
      </c>
      <c r="E30" s="5"/>
      <c r="F30" s="5" t="s">
        <v>653</v>
      </c>
      <c r="G30" s="9" t="n">
        <v>3</v>
      </c>
      <c r="H30" s="53" t="str">
        <f aca="false">IF(SUMPRODUCT((tl_target=$C30)*(tl_sub=H$4)*(tl_align="Primary"))&gt;0,"P",IF(SUMPRODUCT((tl_target=$C30)*(tl_sub=H$4))&gt;0,"S",""))</f>
        <v/>
      </c>
      <c r="I30" s="53" t="str">
        <f aca="false">IF(SUMPRODUCT((tl_target=$C30)*(tl_sub=I$4)*(tl_align="Primary"))&gt;0,"P",IF(SUMPRODUCT((tl_target=$C30)*(tl_sub=I$4))&gt;0,"S",""))</f>
        <v/>
      </c>
      <c r="J30" s="53" t="str">
        <f aca="false">IF(SUMPRODUCT((tl_target=$C30)*(tl_sub=J$4)*(tl_align="Primary"))&gt;0,"P",IF(SUMPRODUCT((tl_target=$C30)*(tl_sub=J$4))&gt;0,"S",""))</f>
        <v/>
      </c>
      <c r="K30" s="53" t="str">
        <f aca="false">IF(SUMPRODUCT((tl_target=$C30)*(tl_sub=K$4)*(tl_align="Primary"))&gt;0,"P",IF(SUMPRODUCT((tl_target=$C30)*(tl_sub=K$4))&gt;0,"S",""))</f>
        <v/>
      </c>
      <c r="L30" s="53" t="str">
        <f aca="false">IF(SUMPRODUCT((tl_target=$C30)*(tl_sub=L$4)*(tl_align="Primary"))&gt;0,"P",IF(SUMPRODUCT((tl_target=$C30)*(tl_sub=L$4))&gt;0,"S",""))</f>
        <v/>
      </c>
      <c r="M30" s="53" t="str">
        <f aca="false">IF(SUMPRODUCT((tl_target=$C30)*(tl_sub=M$4)*(tl_align="Primary"))&gt;0,"P",IF(SUMPRODUCT((tl_target=$C30)*(tl_sub=M$4))&gt;0,"S",""))</f>
        <v/>
      </c>
      <c r="N30" s="53" t="str">
        <f aca="false">IF(SUMPRODUCT((tl_target=$C30)*(tl_sub=N$4)*(tl_align="Primary"))&gt;0,"P",IF(SUMPRODUCT((tl_target=$C30)*(tl_sub=N$4))&gt;0,"S",""))</f>
        <v/>
      </c>
      <c r="O30" s="53" t="str">
        <f aca="false">IF(SUMPRODUCT((tl_target=$C30)*(tl_sub=O$4)*(tl_align="Primary"))&gt;0,"P",IF(SUMPRODUCT((tl_target=$C30)*(tl_sub=O$4))&gt;0,"S",""))</f>
        <v/>
      </c>
      <c r="P30" s="53" t="str">
        <f aca="false">IF(SUMPRODUCT((tl_target=$C30)*(tl_sub=P$4)*(tl_align="Primary"))&gt;0,"P",IF(SUMPRODUCT((tl_target=$C30)*(tl_sub=P$4))&gt;0,"S",""))</f>
        <v/>
      </c>
      <c r="Q30" s="53" t="str">
        <f aca="false">IF(SUMPRODUCT((tl_target=$C30)*(tl_sub=Q$4)*(tl_align="Primary"))&gt;0,"P",IF(SUMPRODUCT((tl_target=$C30)*(tl_sub=Q$4))&gt;0,"S",""))</f>
        <v/>
      </c>
      <c r="R30" s="69" t="str">
        <f aca="false">_xlfn.TEXTJOIN(", ",TRUE(),IF(SUMPRODUCT((tl_target=$C30)*(tl_principle="PP1"))&gt;0,"PP1",""),IF(SUMPRODUCT((tl_target=$C30)*(tl_principle="PP2"))&gt;0,"PP2",""),IF(SUMPRODUCT((tl_target=$C30)*(tl_principle="PP3"))&gt;0,"PP3",""),IF(SUMPRODUCT((tl_target=$C30)*(tl_principle="PP4"))&gt;0,"PP4",""))</f>
        <v/>
      </c>
      <c r="S30" s="9" t="n">
        <f aca="false">SUMPRODUCT(--(tl_target=$C30))</f>
        <v>0</v>
      </c>
      <c r="T30" s="53" t="str">
        <f aca="false">IF(SUMPRODUCT((tl_target=$C30)*(tl_align="Primary"))&gt;0,"Primary link",IF(S30&gt;0,"Secondary only","Gap"))</f>
        <v>Gap</v>
      </c>
      <c r="U30" s="66"/>
      <c r="V30" s="66"/>
      <c r="W30" s="66"/>
      <c r="X30" s="66"/>
      <c r="Y30" s="66"/>
    </row>
    <row r="31" customFormat="false" ht="35.05" hidden="false" customHeight="false" outlineLevel="0" collapsed="false">
      <c r="A31" s="56" t="n">
        <v>3</v>
      </c>
      <c r="B31" s="5" t="s">
        <v>539</v>
      </c>
      <c r="C31" s="13" t="s">
        <v>654</v>
      </c>
      <c r="D31" s="5" t="s">
        <v>612</v>
      </c>
      <c r="E31" s="5"/>
      <c r="F31" s="5" t="s">
        <v>655</v>
      </c>
      <c r="G31" s="9" t="n">
        <v>1</v>
      </c>
      <c r="H31" s="53" t="str">
        <f aca="false">IF(SUMPRODUCT((tl_target=$C31)*(tl_sub=H$4)*(tl_align="Primary"))&gt;0,"P",IF(SUMPRODUCT((tl_target=$C31)*(tl_sub=H$4))&gt;0,"S",""))</f>
        <v/>
      </c>
      <c r="I31" s="53" t="str">
        <f aca="false">IF(SUMPRODUCT((tl_target=$C31)*(tl_sub=I$4)*(tl_align="Primary"))&gt;0,"P",IF(SUMPRODUCT((tl_target=$C31)*(tl_sub=I$4))&gt;0,"S",""))</f>
        <v/>
      </c>
      <c r="J31" s="53" t="str">
        <f aca="false">IF(SUMPRODUCT((tl_target=$C31)*(tl_sub=J$4)*(tl_align="Primary"))&gt;0,"P",IF(SUMPRODUCT((tl_target=$C31)*(tl_sub=J$4))&gt;0,"S",""))</f>
        <v/>
      </c>
      <c r="K31" s="53" t="str">
        <f aca="false">IF(SUMPRODUCT((tl_target=$C31)*(tl_sub=K$4)*(tl_align="Primary"))&gt;0,"P",IF(SUMPRODUCT((tl_target=$C31)*(tl_sub=K$4))&gt;0,"S",""))</f>
        <v/>
      </c>
      <c r="L31" s="53" t="str">
        <f aca="false">IF(SUMPRODUCT((tl_target=$C31)*(tl_sub=L$4)*(tl_align="Primary"))&gt;0,"P",IF(SUMPRODUCT((tl_target=$C31)*(tl_sub=L$4))&gt;0,"S",""))</f>
        <v/>
      </c>
      <c r="M31" s="53" t="str">
        <f aca="false">IF(SUMPRODUCT((tl_target=$C31)*(tl_sub=M$4)*(tl_align="Primary"))&gt;0,"P",IF(SUMPRODUCT((tl_target=$C31)*(tl_sub=M$4))&gt;0,"S",""))</f>
        <v/>
      </c>
      <c r="N31" s="53" t="str">
        <f aca="false">IF(SUMPRODUCT((tl_target=$C31)*(tl_sub=N$4)*(tl_align="Primary"))&gt;0,"P",IF(SUMPRODUCT((tl_target=$C31)*(tl_sub=N$4))&gt;0,"S",""))</f>
        <v/>
      </c>
      <c r="O31" s="53" t="str">
        <f aca="false">IF(SUMPRODUCT((tl_target=$C31)*(tl_sub=O$4)*(tl_align="Primary"))&gt;0,"P",IF(SUMPRODUCT((tl_target=$C31)*(tl_sub=O$4))&gt;0,"S",""))</f>
        <v/>
      </c>
      <c r="P31" s="53" t="str">
        <f aca="false">IF(SUMPRODUCT((tl_target=$C31)*(tl_sub=P$4)*(tl_align="Primary"))&gt;0,"P",IF(SUMPRODUCT((tl_target=$C31)*(tl_sub=P$4))&gt;0,"S",""))</f>
        <v/>
      </c>
      <c r="Q31" s="53" t="str">
        <f aca="false">IF(SUMPRODUCT((tl_target=$C31)*(tl_sub=Q$4)*(tl_align="Primary"))&gt;0,"P",IF(SUMPRODUCT((tl_target=$C31)*(tl_sub=Q$4))&gt;0,"S",""))</f>
        <v/>
      </c>
      <c r="R31" s="69" t="str">
        <f aca="false">_xlfn.TEXTJOIN(", ",TRUE(),IF(SUMPRODUCT((tl_target=$C31)*(tl_principle="PP1"))&gt;0,"PP1",""),IF(SUMPRODUCT((tl_target=$C31)*(tl_principle="PP2"))&gt;0,"PP2",""),IF(SUMPRODUCT((tl_target=$C31)*(tl_principle="PP3"))&gt;0,"PP3",""),IF(SUMPRODUCT((tl_target=$C31)*(tl_principle="PP4"))&gt;0,"PP4",""))</f>
        <v/>
      </c>
      <c r="S31" s="9" t="n">
        <f aca="false">SUMPRODUCT(--(tl_target=$C31))</f>
        <v>0</v>
      </c>
      <c r="T31" s="53" t="str">
        <f aca="false">IF(SUMPRODUCT((tl_target=$C31)*(tl_align="Primary"))&gt;0,"Primary link",IF(S31&gt;0,"Secondary only","Gap"))</f>
        <v>Gap</v>
      </c>
      <c r="U31" s="66"/>
      <c r="V31" s="66"/>
      <c r="W31" s="66"/>
      <c r="X31" s="66"/>
      <c r="Y31" s="66"/>
    </row>
    <row r="32" customFormat="false" ht="35.05" hidden="false" customHeight="false" outlineLevel="0" collapsed="false">
      <c r="A32" s="56" t="n">
        <v>3</v>
      </c>
      <c r="B32" s="5" t="s">
        <v>539</v>
      </c>
      <c r="C32" s="13" t="s">
        <v>656</v>
      </c>
      <c r="D32" s="5" t="s">
        <v>612</v>
      </c>
      <c r="E32" s="5"/>
      <c r="F32" s="5" t="s">
        <v>657</v>
      </c>
      <c r="G32" s="9" t="n">
        <v>2</v>
      </c>
      <c r="H32" s="53" t="str">
        <f aca="false">IF(SUMPRODUCT((tl_target=$C32)*(tl_sub=H$4)*(tl_align="Primary"))&gt;0,"P",IF(SUMPRODUCT((tl_target=$C32)*(tl_sub=H$4))&gt;0,"S",""))</f>
        <v/>
      </c>
      <c r="I32" s="53" t="str">
        <f aca="false">IF(SUMPRODUCT((tl_target=$C32)*(tl_sub=I$4)*(tl_align="Primary"))&gt;0,"P",IF(SUMPRODUCT((tl_target=$C32)*(tl_sub=I$4))&gt;0,"S",""))</f>
        <v/>
      </c>
      <c r="J32" s="53" t="str">
        <f aca="false">IF(SUMPRODUCT((tl_target=$C32)*(tl_sub=J$4)*(tl_align="Primary"))&gt;0,"P",IF(SUMPRODUCT((tl_target=$C32)*(tl_sub=J$4))&gt;0,"S",""))</f>
        <v/>
      </c>
      <c r="K32" s="53" t="str">
        <f aca="false">IF(SUMPRODUCT((tl_target=$C32)*(tl_sub=K$4)*(tl_align="Primary"))&gt;0,"P",IF(SUMPRODUCT((tl_target=$C32)*(tl_sub=K$4))&gt;0,"S",""))</f>
        <v/>
      </c>
      <c r="L32" s="53" t="str">
        <f aca="false">IF(SUMPRODUCT((tl_target=$C32)*(tl_sub=L$4)*(tl_align="Primary"))&gt;0,"P",IF(SUMPRODUCT((tl_target=$C32)*(tl_sub=L$4))&gt;0,"S",""))</f>
        <v/>
      </c>
      <c r="M32" s="53" t="str">
        <f aca="false">IF(SUMPRODUCT((tl_target=$C32)*(tl_sub=M$4)*(tl_align="Primary"))&gt;0,"P",IF(SUMPRODUCT((tl_target=$C32)*(tl_sub=M$4))&gt;0,"S",""))</f>
        <v/>
      </c>
      <c r="N32" s="53" t="str">
        <f aca="false">IF(SUMPRODUCT((tl_target=$C32)*(tl_sub=N$4)*(tl_align="Primary"))&gt;0,"P",IF(SUMPRODUCT((tl_target=$C32)*(tl_sub=N$4))&gt;0,"S",""))</f>
        <v/>
      </c>
      <c r="O32" s="53" t="str">
        <f aca="false">IF(SUMPRODUCT((tl_target=$C32)*(tl_sub=O$4)*(tl_align="Primary"))&gt;0,"P",IF(SUMPRODUCT((tl_target=$C32)*(tl_sub=O$4))&gt;0,"S",""))</f>
        <v/>
      </c>
      <c r="P32" s="53" t="str">
        <f aca="false">IF(SUMPRODUCT((tl_target=$C32)*(tl_sub=P$4)*(tl_align="Primary"))&gt;0,"P",IF(SUMPRODUCT((tl_target=$C32)*(tl_sub=P$4))&gt;0,"S",""))</f>
        <v/>
      </c>
      <c r="Q32" s="53" t="str">
        <f aca="false">IF(SUMPRODUCT((tl_target=$C32)*(tl_sub=Q$4)*(tl_align="Primary"))&gt;0,"P",IF(SUMPRODUCT((tl_target=$C32)*(tl_sub=Q$4))&gt;0,"S",""))</f>
        <v/>
      </c>
      <c r="R32" s="69" t="str">
        <f aca="false">_xlfn.TEXTJOIN(", ",TRUE(),IF(SUMPRODUCT((tl_target=$C32)*(tl_principle="PP1"))&gt;0,"PP1",""),IF(SUMPRODUCT((tl_target=$C32)*(tl_principle="PP2"))&gt;0,"PP2",""),IF(SUMPRODUCT((tl_target=$C32)*(tl_principle="PP3"))&gt;0,"PP3",""),IF(SUMPRODUCT((tl_target=$C32)*(tl_principle="PP4"))&gt;0,"PP4",""))</f>
        <v/>
      </c>
      <c r="S32" s="9" t="n">
        <f aca="false">SUMPRODUCT(--(tl_target=$C32))</f>
        <v>0</v>
      </c>
      <c r="T32" s="53" t="str">
        <f aca="false">IF(SUMPRODUCT((tl_target=$C32)*(tl_align="Primary"))&gt;0,"Primary link",IF(S32&gt;0,"Secondary only","Gap"))</f>
        <v>Gap</v>
      </c>
      <c r="U32" s="66"/>
      <c r="V32" s="66"/>
      <c r="W32" s="66"/>
      <c r="X32" s="66"/>
      <c r="Y32" s="66"/>
    </row>
    <row r="33" customFormat="false" ht="35.05" hidden="false" customHeight="false" outlineLevel="0" collapsed="false">
      <c r="A33" s="23" t="n">
        <v>4</v>
      </c>
      <c r="B33" s="5" t="s">
        <v>302</v>
      </c>
      <c r="C33" s="13" t="s">
        <v>658</v>
      </c>
      <c r="D33" s="5" t="s">
        <v>499</v>
      </c>
      <c r="E33" s="5"/>
      <c r="F33" s="5" t="s">
        <v>659</v>
      </c>
      <c r="G33" s="9" t="n">
        <v>2</v>
      </c>
      <c r="H33" s="53" t="str">
        <f aca="false">IF(SUMPRODUCT((tl_target=$C33)*(tl_sub=H$4)*(tl_align="Primary"))&gt;0,"P",IF(SUMPRODUCT((tl_target=$C33)*(tl_sub=H$4))&gt;0,"S",""))</f>
        <v/>
      </c>
      <c r="I33" s="53" t="str">
        <f aca="false">IF(SUMPRODUCT((tl_target=$C33)*(tl_sub=I$4)*(tl_align="Primary"))&gt;0,"P",IF(SUMPRODUCT((tl_target=$C33)*(tl_sub=I$4))&gt;0,"S",""))</f>
        <v/>
      </c>
      <c r="J33" s="53" t="str">
        <f aca="false">IF(SUMPRODUCT((tl_target=$C33)*(tl_sub=J$4)*(tl_align="Primary"))&gt;0,"P",IF(SUMPRODUCT((tl_target=$C33)*(tl_sub=J$4))&gt;0,"S",""))</f>
        <v/>
      </c>
      <c r="K33" s="53" t="str">
        <f aca="false">IF(SUMPRODUCT((tl_target=$C33)*(tl_sub=K$4)*(tl_align="Primary"))&gt;0,"P",IF(SUMPRODUCT((tl_target=$C33)*(tl_sub=K$4))&gt;0,"S",""))</f>
        <v/>
      </c>
      <c r="L33" s="53" t="str">
        <f aca="false">IF(SUMPRODUCT((tl_target=$C33)*(tl_sub=L$4)*(tl_align="Primary"))&gt;0,"P",IF(SUMPRODUCT((tl_target=$C33)*(tl_sub=L$4))&gt;0,"S",""))</f>
        <v/>
      </c>
      <c r="M33" s="53" t="str">
        <f aca="false">IF(SUMPRODUCT((tl_target=$C33)*(tl_sub=M$4)*(tl_align="Primary"))&gt;0,"P",IF(SUMPRODUCT((tl_target=$C33)*(tl_sub=M$4))&gt;0,"S",""))</f>
        <v/>
      </c>
      <c r="N33" s="53" t="str">
        <f aca="false">IF(SUMPRODUCT((tl_target=$C33)*(tl_sub=N$4)*(tl_align="Primary"))&gt;0,"P",IF(SUMPRODUCT((tl_target=$C33)*(tl_sub=N$4))&gt;0,"S",""))</f>
        <v/>
      </c>
      <c r="O33" s="53" t="str">
        <f aca="false">IF(SUMPRODUCT((tl_target=$C33)*(tl_sub=O$4)*(tl_align="Primary"))&gt;0,"P",IF(SUMPRODUCT((tl_target=$C33)*(tl_sub=O$4))&gt;0,"S",""))</f>
        <v/>
      </c>
      <c r="P33" s="53" t="str">
        <f aca="false">IF(SUMPRODUCT((tl_target=$C33)*(tl_sub=P$4)*(tl_align="Primary"))&gt;0,"P",IF(SUMPRODUCT((tl_target=$C33)*(tl_sub=P$4))&gt;0,"S",""))</f>
        <v/>
      </c>
      <c r="Q33" s="53" t="str">
        <f aca="false">IF(SUMPRODUCT((tl_target=$C33)*(tl_sub=Q$4)*(tl_align="Primary"))&gt;0,"P",IF(SUMPRODUCT((tl_target=$C33)*(tl_sub=Q$4))&gt;0,"S",""))</f>
        <v/>
      </c>
      <c r="R33" s="69" t="str">
        <f aca="false">_xlfn.TEXTJOIN(", ",TRUE(),IF(SUMPRODUCT((tl_target=$C33)*(tl_principle="PP1"))&gt;0,"PP1",""),IF(SUMPRODUCT((tl_target=$C33)*(tl_principle="PP2"))&gt;0,"PP2",""),IF(SUMPRODUCT((tl_target=$C33)*(tl_principle="PP3"))&gt;0,"PP3",""),IF(SUMPRODUCT((tl_target=$C33)*(tl_principle="PP4"))&gt;0,"PP4",""))</f>
        <v/>
      </c>
      <c r="S33" s="9" t="n">
        <f aca="false">SUMPRODUCT(--(tl_target=$C33))</f>
        <v>0</v>
      </c>
      <c r="T33" s="53" t="str">
        <f aca="false">IF(SUMPRODUCT((tl_target=$C33)*(tl_align="Primary"))&gt;0,"Primary link",IF(S33&gt;0,"Secondary only","Gap"))</f>
        <v>Gap</v>
      </c>
      <c r="U33" s="66"/>
      <c r="V33" s="66"/>
      <c r="W33" s="66"/>
      <c r="X33" s="66"/>
      <c r="Y33" s="66"/>
    </row>
    <row r="34" customFormat="false" ht="35.05" hidden="false" customHeight="false" outlineLevel="0" collapsed="false">
      <c r="A34" s="23" t="n">
        <v>4</v>
      </c>
      <c r="B34" s="5" t="s">
        <v>302</v>
      </c>
      <c r="C34" s="13" t="s">
        <v>660</v>
      </c>
      <c r="D34" s="5" t="s">
        <v>499</v>
      </c>
      <c r="E34" s="5"/>
      <c r="F34" s="5" t="s">
        <v>661</v>
      </c>
      <c r="G34" s="9" t="n">
        <v>2</v>
      </c>
      <c r="H34" s="53" t="str">
        <f aca="false">IF(SUMPRODUCT((tl_target=$C34)*(tl_sub=H$4)*(tl_align="Primary"))&gt;0,"P",IF(SUMPRODUCT((tl_target=$C34)*(tl_sub=H$4))&gt;0,"S",""))</f>
        <v/>
      </c>
      <c r="I34" s="53" t="str">
        <f aca="false">IF(SUMPRODUCT((tl_target=$C34)*(tl_sub=I$4)*(tl_align="Primary"))&gt;0,"P",IF(SUMPRODUCT((tl_target=$C34)*(tl_sub=I$4))&gt;0,"S",""))</f>
        <v/>
      </c>
      <c r="J34" s="53" t="str">
        <f aca="false">IF(SUMPRODUCT((tl_target=$C34)*(tl_sub=J$4)*(tl_align="Primary"))&gt;0,"P",IF(SUMPRODUCT((tl_target=$C34)*(tl_sub=J$4))&gt;0,"S",""))</f>
        <v/>
      </c>
      <c r="K34" s="53" t="str">
        <f aca="false">IF(SUMPRODUCT((tl_target=$C34)*(tl_sub=K$4)*(tl_align="Primary"))&gt;0,"P",IF(SUMPRODUCT((tl_target=$C34)*(tl_sub=K$4))&gt;0,"S",""))</f>
        <v/>
      </c>
      <c r="L34" s="53" t="str">
        <f aca="false">IF(SUMPRODUCT((tl_target=$C34)*(tl_sub=L$4)*(tl_align="Primary"))&gt;0,"P",IF(SUMPRODUCT((tl_target=$C34)*(tl_sub=L$4))&gt;0,"S",""))</f>
        <v/>
      </c>
      <c r="M34" s="53" t="str">
        <f aca="false">IF(SUMPRODUCT((tl_target=$C34)*(tl_sub=M$4)*(tl_align="Primary"))&gt;0,"P",IF(SUMPRODUCT((tl_target=$C34)*(tl_sub=M$4))&gt;0,"S",""))</f>
        <v/>
      </c>
      <c r="N34" s="53" t="str">
        <f aca="false">IF(SUMPRODUCT((tl_target=$C34)*(tl_sub=N$4)*(tl_align="Primary"))&gt;0,"P",IF(SUMPRODUCT((tl_target=$C34)*(tl_sub=N$4))&gt;0,"S",""))</f>
        <v/>
      </c>
      <c r="O34" s="53" t="str">
        <f aca="false">IF(SUMPRODUCT((tl_target=$C34)*(tl_sub=O$4)*(tl_align="Primary"))&gt;0,"P",IF(SUMPRODUCT((tl_target=$C34)*(tl_sub=O$4))&gt;0,"S",""))</f>
        <v/>
      </c>
      <c r="P34" s="53" t="str">
        <f aca="false">IF(SUMPRODUCT((tl_target=$C34)*(tl_sub=P$4)*(tl_align="Primary"))&gt;0,"P",IF(SUMPRODUCT((tl_target=$C34)*(tl_sub=P$4))&gt;0,"S",""))</f>
        <v/>
      </c>
      <c r="Q34" s="53" t="str">
        <f aca="false">IF(SUMPRODUCT((tl_target=$C34)*(tl_sub=Q$4)*(tl_align="Primary"))&gt;0,"P",IF(SUMPRODUCT((tl_target=$C34)*(tl_sub=Q$4))&gt;0,"S",""))</f>
        <v/>
      </c>
      <c r="R34" s="69" t="str">
        <f aca="false">_xlfn.TEXTJOIN(", ",TRUE(),IF(SUMPRODUCT((tl_target=$C34)*(tl_principle="PP1"))&gt;0,"PP1",""),IF(SUMPRODUCT((tl_target=$C34)*(tl_principle="PP2"))&gt;0,"PP2",""),IF(SUMPRODUCT((tl_target=$C34)*(tl_principle="PP3"))&gt;0,"PP3",""),IF(SUMPRODUCT((tl_target=$C34)*(tl_principle="PP4"))&gt;0,"PP4",""))</f>
        <v/>
      </c>
      <c r="S34" s="9" t="n">
        <f aca="false">SUMPRODUCT(--(tl_target=$C34))</f>
        <v>0</v>
      </c>
      <c r="T34" s="53" t="str">
        <f aca="false">IF(SUMPRODUCT((tl_target=$C34)*(tl_align="Primary"))&gt;0,"Primary link",IF(S34&gt;0,"Secondary only","Gap"))</f>
        <v>Gap</v>
      </c>
      <c r="U34" s="66"/>
      <c r="V34" s="66"/>
      <c r="W34" s="66"/>
      <c r="X34" s="66"/>
      <c r="Y34" s="66"/>
    </row>
    <row r="35" customFormat="false" ht="23.85" hidden="false" customHeight="false" outlineLevel="0" collapsed="false">
      <c r="A35" s="23" t="n">
        <v>4</v>
      </c>
      <c r="B35" s="5" t="s">
        <v>302</v>
      </c>
      <c r="C35" s="13" t="s">
        <v>662</v>
      </c>
      <c r="D35" s="5" t="s">
        <v>499</v>
      </c>
      <c r="E35" s="5"/>
      <c r="F35" s="5" t="s">
        <v>663</v>
      </c>
      <c r="G35" s="9" t="n">
        <v>1</v>
      </c>
      <c r="H35" s="53" t="str">
        <f aca="false">IF(SUMPRODUCT((tl_target=$C35)*(tl_sub=H$4)*(tl_align="Primary"))&gt;0,"P",IF(SUMPRODUCT((tl_target=$C35)*(tl_sub=H$4))&gt;0,"S",""))</f>
        <v/>
      </c>
      <c r="I35" s="53" t="str">
        <f aca="false">IF(SUMPRODUCT((tl_target=$C35)*(tl_sub=I$4)*(tl_align="Primary"))&gt;0,"P",IF(SUMPRODUCT((tl_target=$C35)*(tl_sub=I$4))&gt;0,"S",""))</f>
        <v/>
      </c>
      <c r="J35" s="53" t="str">
        <f aca="false">IF(SUMPRODUCT((tl_target=$C35)*(tl_sub=J$4)*(tl_align="Primary"))&gt;0,"P",IF(SUMPRODUCT((tl_target=$C35)*(tl_sub=J$4))&gt;0,"S",""))</f>
        <v/>
      </c>
      <c r="K35" s="53" t="str">
        <f aca="false">IF(SUMPRODUCT((tl_target=$C35)*(tl_sub=K$4)*(tl_align="Primary"))&gt;0,"P",IF(SUMPRODUCT((tl_target=$C35)*(tl_sub=K$4))&gt;0,"S",""))</f>
        <v/>
      </c>
      <c r="L35" s="53" t="str">
        <f aca="false">IF(SUMPRODUCT((tl_target=$C35)*(tl_sub=L$4)*(tl_align="Primary"))&gt;0,"P",IF(SUMPRODUCT((tl_target=$C35)*(tl_sub=L$4))&gt;0,"S",""))</f>
        <v/>
      </c>
      <c r="M35" s="53" t="str">
        <f aca="false">IF(SUMPRODUCT((tl_target=$C35)*(tl_sub=M$4)*(tl_align="Primary"))&gt;0,"P",IF(SUMPRODUCT((tl_target=$C35)*(tl_sub=M$4))&gt;0,"S",""))</f>
        <v/>
      </c>
      <c r="N35" s="53" t="str">
        <f aca="false">IF(SUMPRODUCT((tl_target=$C35)*(tl_sub=N$4)*(tl_align="Primary"))&gt;0,"P",IF(SUMPRODUCT((tl_target=$C35)*(tl_sub=N$4))&gt;0,"S",""))</f>
        <v/>
      </c>
      <c r="O35" s="53" t="str">
        <f aca="false">IF(SUMPRODUCT((tl_target=$C35)*(tl_sub=O$4)*(tl_align="Primary"))&gt;0,"P",IF(SUMPRODUCT((tl_target=$C35)*(tl_sub=O$4))&gt;0,"S",""))</f>
        <v/>
      </c>
      <c r="P35" s="53" t="str">
        <f aca="false">IF(SUMPRODUCT((tl_target=$C35)*(tl_sub=P$4)*(tl_align="Primary"))&gt;0,"P",IF(SUMPRODUCT((tl_target=$C35)*(tl_sub=P$4))&gt;0,"S",""))</f>
        <v/>
      </c>
      <c r="Q35" s="53" t="str">
        <f aca="false">IF(SUMPRODUCT((tl_target=$C35)*(tl_sub=Q$4)*(tl_align="Primary"))&gt;0,"P",IF(SUMPRODUCT((tl_target=$C35)*(tl_sub=Q$4))&gt;0,"S",""))</f>
        <v/>
      </c>
      <c r="R35" s="69" t="str">
        <f aca="false">_xlfn.TEXTJOIN(", ",TRUE(),IF(SUMPRODUCT((tl_target=$C35)*(tl_principle="PP1"))&gt;0,"PP1",""),IF(SUMPRODUCT((tl_target=$C35)*(tl_principle="PP2"))&gt;0,"PP2",""),IF(SUMPRODUCT((tl_target=$C35)*(tl_principle="PP3"))&gt;0,"PP3",""),IF(SUMPRODUCT((tl_target=$C35)*(tl_principle="PP4"))&gt;0,"PP4",""))</f>
        <v/>
      </c>
      <c r="S35" s="9" t="n">
        <f aca="false">SUMPRODUCT(--(tl_target=$C35))</f>
        <v>0</v>
      </c>
      <c r="T35" s="53" t="str">
        <f aca="false">IF(SUMPRODUCT((tl_target=$C35)*(tl_align="Primary"))&gt;0,"Primary link",IF(S35&gt;0,"Secondary only","Gap"))</f>
        <v>Gap</v>
      </c>
      <c r="U35" s="66"/>
      <c r="V35" s="66"/>
      <c r="W35" s="66"/>
      <c r="X35" s="66"/>
      <c r="Y35" s="66"/>
    </row>
    <row r="36" customFormat="false" ht="35.05" hidden="false" customHeight="false" outlineLevel="0" collapsed="false">
      <c r="A36" s="23" t="n">
        <v>4</v>
      </c>
      <c r="B36" s="5" t="s">
        <v>302</v>
      </c>
      <c r="C36" s="13" t="s">
        <v>303</v>
      </c>
      <c r="D36" s="5" t="s">
        <v>499</v>
      </c>
      <c r="E36" s="5" t="s">
        <v>304</v>
      </c>
      <c r="F36" s="5" t="s">
        <v>305</v>
      </c>
      <c r="G36" s="9" t="n">
        <v>1</v>
      </c>
      <c r="H36" s="53" t="str">
        <f aca="false">IF(SUMPRODUCT((tl_target=$C36)*(tl_sub=H$4)*(tl_align="Primary"))&gt;0,"P",IF(SUMPRODUCT((tl_target=$C36)*(tl_sub=H$4))&gt;0,"S",""))</f>
        <v/>
      </c>
      <c r="I36" s="53" t="str">
        <f aca="false">IF(SUMPRODUCT((tl_target=$C36)*(tl_sub=I$4)*(tl_align="Primary"))&gt;0,"P",IF(SUMPRODUCT((tl_target=$C36)*(tl_sub=I$4))&gt;0,"S",""))</f>
        <v/>
      </c>
      <c r="J36" s="53" t="str">
        <f aca="false">IF(SUMPRODUCT((tl_target=$C36)*(tl_sub=J$4)*(tl_align="Primary"))&gt;0,"P",IF(SUMPRODUCT((tl_target=$C36)*(tl_sub=J$4))&gt;0,"S",""))</f>
        <v/>
      </c>
      <c r="K36" s="53" t="str">
        <f aca="false">IF(SUMPRODUCT((tl_target=$C36)*(tl_sub=K$4)*(tl_align="Primary"))&gt;0,"P",IF(SUMPRODUCT((tl_target=$C36)*(tl_sub=K$4))&gt;0,"S",""))</f>
        <v/>
      </c>
      <c r="L36" s="53" t="str">
        <f aca="false">IF(SUMPRODUCT((tl_target=$C36)*(tl_sub=L$4)*(tl_align="Primary"))&gt;0,"P",IF(SUMPRODUCT((tl_target=$C36)*(tl_sub=L$4))&gt;0,"S",""))</f>
        <v/>
      </c>
      <c r="M36" s="53" t="str">
        <f aca="false">IF(SUMPRODUCT((tl_target=$C36)*(tl_sub=M$4)*(tl_align="Primary"))&gt;0,"P",IF(SUMPRODUCT((tl_target=$C36)*(tl_sub=M$4))&gt;0,"S",""))</f>
        <v>S</v>
      </c>
      <c r="N36" s="53" t="str">
        <f aca="false">IF(SUMPRODUCT((tl_target=$C36)*(tl_sub=N$4)*(tl_align="Primary"))&gt;0,"P",IF(SUMPRODUCT((tl_target=$C36)*(tl_sub=N$4))&gt;0,"S",""))</f>
        <v/>
      </c>
      <c r="O36" s="53" t="str">
        <f aca="false">IF(SUMPRODUCT((tl_target=$C36)*(tl_sub=O$4)*(tl_align="Primary"))&gt;0,"P",IF(SUMPRODUCT((tl_target=$C36)*(tl_sub=O$4))&gt;0,"S",""))</f>
        <v/>
      </c>
      <c r="P36" s="53" t="str">
        <f aca="false">IF(SUMPRODUCT((tl_target=$C36)*(tl_sub=P$4)*(tl_align="Primary"))&gt;0,"P",IF(SUMPRODUCT((tl_target=$C36)*(tl_sub=P$4))&gt;0,"S",""))</f>
        <v/>
      </c>
      <c r="Q36" s="53" t="str">
        <f aca="false">IF(SUMPRODUCT((tl_target=$C36)*(tl_sub=Q$4)*(tl_align="Primary"))&gt;0,"P",IF(SUMPRODUCT((tl_target=$C36)*(tl_sub=Q$4))&gt;0,"S",""))</f>
        <v/>
      </c>
      <c r="R36" s="69" t="str">
        <f aca="false">_xlfn.TEXTJOIN(", ",TRUE(),IF(SUMPRODUCT((tl_target=$C36)*(tl_principle="PP1"))&gt;0,"PP1",""),IF(SUMPRODUCT((tl_target=$C36)*(tl_principle="PP2"))&gt;0,"PP2",""),IF(SUMPRODUCT((tl_target=$C36)*(tl_principle="PP3"))&gt;0,"PP3",""),IF(SUMPRODUCT((tl_target=$C36)*(tl_principle="PP4"))&gt;0,"PP4",""))</f>
        <v>PP3</v>
      </c>
      <c r="S36" s="9" t="n">
        <f aca="false">SUMPRODUCT(--(tl_target=$C36))</f>
        <v>1</v>
      </c>
      <c r="T36" s="53" t="str">
        <f aca="false">IF(SUMPRODUCT((tl_target=$C36)*(tl_align="Primary"))&gt;0,"Primary link",IF(S36&gt;0,"Secondary only","Gap"))</f>
        <v>Secondary only</v>
      </c>
      <c r="U36" s="66"/>
      <c r="V36" s="66"/>
      <c r="W36" s="66"/>
      <c r="X36" s="66"/>
      <c r="Y36" s="66"/>
    </row>
    <row r="37" customFormat="false" ht="46.25" hidden="false" customHeight="false" outlineLevel="0" collapsed="false">
      <c r="A37" s="23" t="n">
        <v>4</v>
      </c>
      <c r="B37" s="5" t="s">
        <v>302</v>
      </c>
      <c r="C37" s="13" t="s">
        <v>664</v>
      </c>
      <c r="D37" s="5" t="s">
        <v>499</v>
      </c>
      <c r="E37" s="5"/>
      <c r="F37" s="5" t="s">
        <v>665</v>
      </c>
      <c r="G37" s="9" t="n">
        <v>1</v>
      </c>
      <c r="H37" s="53" t="str">
        <f aca="false">IF(SUMPRODUCT((tl_target=$C37)*(tl_sub=H$4)*(tl_align="Primary"))&gt;0,"P",IF(SUMPRODUCT((tl_target=$C37)*(tl_sub=H$4))&gt;0,"S",""))</f>
        <v/>
      </c>
      <c r="I37" s="53" t="str">
        <f aca="false">IF(SUMPRODUCT((tl_target=$C37)*(tl_sub=I$4)*(tl_align="Primary"))&gt;0,"P",IF(SUMPRODUCT((tl_target=$C37)*(tl_sub=I$4))&gt;0,"S",""))</f>
        <v/>
      </c>
      <c r="J37" s="53" t="str">
        <f aca="false">IF(SUMPRODUCT((tl_target=$C37)*(tl_sub=J$4)*(tl_align="Primary"))&gt;0,"P",IF(SUMPRODUCT((tl_target=$C37)*(tl_sub=J$4))&gt;0,"S",""))</f>
        <v/>
      </c>
      <c r="K37" s="53" t="str">
        <f aca="false">IF(SUMPRODUCT((tl_target=$C37)*(tl_sub=K$4)*(tl_align="Primary"))&gt;0,"P",IF(SUMPRODUCT((tl_target=$C37)*(tl_sub=K$4))&gt;0,"S",""))</f>
        <v/>
      </c>
      <c r="L37" s="53" t="str">
        <f aca="false">IF(SUMPRODUCT((tl_target=$C37)*(tl_sub=L$4)*(tl_align="Primary"))&gt;0,"P",IF(SUMPRODUCT((tl_target=$C37)*(tl_sub=L$4))&gt;0,"S",""))</f>
        <v/>
      </c>
      <c r="M37" s="53" t="str">
        <f aca="false">IF(SUMPRODUCT((tl_target=$C37)*(tl_sub=M$4)*(tl_align="Primary"))&gt;0,"P",IF(SUMPRODUCT((tl_target=$C37)*(tl_sub=M$4))&gt;0,"S",""))</f>
        <v/>
      </c>
      <c r="N37" s="53" t="str">
        <f aca="false">IF(SUMPRODUCT((tl_target=$C37)*(tl_sub=N$4)*(tl_align="Primary"))&gt;0,"P",IF(SUMPRODUCT((tl_target=$C37)*(tl_sub=N$4))&gt;0,"S",""))</f>
        <v/>
      </c>
      <c r="O37" s="53" t="str">
        <f aca="false">IF(SUMPRODUCT((tl_target=$C37)*(tl_sub=O$4)*(tl_align="Primary"))&gt;0,"P",IF(SUMPRODUCT((tl_target=$C37)*(tl_sub=O$4))&gt;0,"S",""))</f>
        <v/>
      </c>
      <c r="P37" s="53" t="str">
        <f aca="false">IF(SUMPRODUCT((tl_target=$C37)*(tl_sub=P$4)*(tl_align="Primary"))&gt;0,"P",IF(SUMPRODUCT((tl_target=$C37)*(tl_sub=P$4))&gt;0,"S",""))</f>
        <v/>
      </c>
      <c r="Q37" s="53" t="str">
        <f aca="false">IF(SUMPRODUCT((tl_target=$C37)*(tl_sub=Q$4)*(tl_align="Primary"))&gt;0,"P",IF(SUMPRODUCT((tl_target=$C37)*(tl_sub=Q$4))&gt;0,"S",""))</f>
        <v/>
      </c>
      <c r="R37" s="69" t="str">
        <f aca="false">_xlfn.TEXTJOIN(", ",TRUE(),IF(SUMPRODUCT((tl_target=$C37)*(tl_principle="PP1"))&gt;0,"PP1",""),IF(SUMPRODUCT((tl_target=$C37)*(tl_principle="PP2"))&gt;0,"PP2",""),IF(SUMPRODUCT((tl_target=$C37)*(tl_principle="PP3"))&gt;0,"PP3",""),IF(SUMPRODUCT((tl_target=$C37)*(tl_principle="PP4"))&gt;0,"PP4",""))</f>
        <v/>
      </c>
      <c r="S37" s="9" t="n">
        <f aca="false">SUMPRODUCT(--(tl_target=$C37))</f>
        <v>0</v>
      </c>
      <c r="T37" s="53" t="str">
        <f aca="false">IF(SUMPRODUCT((tl_target=$C37)*(tl_align="Primary"))&gt;0,"Primary link",IF(S37&gt;0,"Secondary only","Gap"))</f>
        <v>Gap</v>
      </c>
      <c r="U37" s="66"/>
      <c r="V37" s="66"/>
      <c r="W37" s="66"/>
      <c r="X37" s="66"/>
      <c r="Y37" s="66"/>
    </row>
    <row r="38" customFormat="false" ht="23.85" hidden="false" customHeight="false" outlineLevel="0" collapsed="false">
      <c r="A38" s="23" t="n">
        <v>4</v>
      </c>
      <c r="B38" s="5" t="s">
        <v>302</v>
      </c>
      <c r="C38" s="13" t="s">
        <v>666</v>
      </c>
      <c r="D38" s="5" t="s">
        <v>499</v>
      </c>
      <c r="E38" s="5"/>
      <c r="F38" s="5" t="s">
        <v>667</v>
      </c>
      <c r="G38" s="9" t="n">
        <v>1</v>
      </c>
      <c r="H38" s="53" t="str">
        <f aca="false">IF(SUMPRODUCT((tl_target=$C38)*(tl_sub=H$4)*(tl_align="Primary"))&gt;0,"P",IF(SUMPRODUCT((tl_target=$C38)*(tl_sub=H$4))&gt;0,"S",""))</f>
        <v/>
      </c>
      <c r="I38" s="53" t="str">
        <f aca="false">IF(SUMPRODUCT((tl_target=$C38)*(tl_sub=I$4)*(tl_align="Primary"))&gt;0,"P",IF(SUMPRODUCT((tl_target=$C38)*(tl_sub=I$4))&gt;0,"S",""))</f>
        <v/>
      </c>
      <c r="J38" s="53" t="str">
        <f aca="false">IF(SUMPRODUCT((tl_target=$C38)*(tl_sub=J$4)*(tl_align="Primary"))&gt;0,"P",IF(SUMPRODUCT((tl_target=$C38)*(tl_sub=J$4))&gt;0,"S",""))</f>
        <v/>
      </c>
      <c r="K38" s="53" t="str">
        <f aca="false">IF(SUMPRODUCT((tl_target=$C38)*(tl_sub=K$4)*(tl_align="Primary"))&gt;0,"P",IF(SUMPRODUCT((tl_target=$C38)*(tl_sub=K$4))&gt;0,"S",""))</f>
        <v/>
      </c>
      <c r="L38" s="53" t="str">
        <f aca="false">IF(SUMPRODUCT((tl_target=$C38)*(tl_sub=L$4)*(tl_align="Primary"))&gt;0,"P",IF(SUMPRODUCT((tl_target=$C38)*(tl_sub=L$4))&gt;0,"S",""))</f>
        <v/>
      </c>
      <c r="M38" s="53" t="str">
        <f aca="false">IF(SUMPRODUCT((tl_target=$C38)*(tl_sub=M$4)*(tl_align="Primary"))&gt;0,"P",IF(SUMPRODUCT((tl_target=$C38)*(tl_sub=M$4))&gt;0,"S",""))</f>
        <v/>
      </c>
      <c r="N38" s="53" t="str">
        <f aca="false">IF(SUMPRODUCT((tl_target=$C38)*(tl_sub=N$4)*(tl_align="Primary"))&gt;0,"P",IF(SUMPRODUCT((tl_target=$C38)*(tl_sub=N$4))&gt;0,"S",""))</f>
        <v/>
      </c>
      <c r="O38" s="53" t="str">
        <f aca="false">IF(SUMPRODUCT((tl_target=$C38)*(tl_sub=O$4)*(tl_align="Primary"))&gt;0,"P",IF(SUMPRODUCT((tl_target=$C38)*(tl_sub=O$4))&gt;0,"S",""))</f>
        <v/>
      </c>
      <c r="P38" s="53" t="str">
        <f aca="false">IF(SUMPRODUCT((tl_target=$C38)*(tl_sub=P$4)*(tl_align="Primary"))&gt;0,"P",IF(SUMPRODUCT((tl_target=$C38)*(tl_sub=P$4))&gt;0,"S",""))</f>
        <v/>
      </c>
      <c r="Q38" s="53" t="str">
        <f aca="false">IF(SUMPRODUCT((tl_target=$C38)*(tl_sub=Q$4)*(tl_align="Primary"))&gt;0,"P",IF(SUMPRODUCT((tl_target=$C38)*(tl_sub=Q$4))&gt;0,"S",""))</f>
        <v/>
      </c>
      <c r="R38" s="69" t="str">
        <f aca="false">_xlfn.TEXTJOIN(", ",TRUE(),IF(SUMPRODUCT((tl_target=$C38)*(tl_principle="PP1"))&gt;0,"PP1",""),IF(SUMPRODUCT((tl_target=$C38)*(tl_principle="PP2"))&gt;0,"PP2",""),IF(SUMPRODUCT((tl_target=$C38)*(tl_principle="PP3"))&gt;0,"PP3",""),IF(SUMPRODUCT((tl_target=$C38)*(tl_principle="PP4"))&gt;0,"PP4",""))</f>
        <v/>
      </c>
      <c r="S38" s="9" t="n">
        <f aca="false">SUMPRODUCT(--(tl_target=$C38))</f>
        <v>0</v>
      </c>
      <c r="T38" s="53" t="str">
        <f aca="false">IF(SUMPRODUCT((tl_target=$C38)*(tl_align="Primary"))&gt;0,"Primary link",IF(S38&gt;0,"Secondary only","Gap"))</f>
        <v>Gap</v>
      </c>
      <c r="U38" s="66"/>
      <c r="V38" s="66"/>
      <c r="W38" s="66"/>
      <c r="X38" s="66"/>
      <c r="Y38" s="66"/>
    </row>
    <row r="39" customFormat="false" ht="68.65" hidden="false" customHeight="false" outlineLevel="0" collapsed="false">
      <c r="A39" s="23" t="n">
        <v>4</v>
      </c>
      <c r="B39" s="5" t="s">
        <v>302</v>
      </c>
      <c r="C39" s="13" t="s">
        <v>668</v>
      </c>
      <c r="D39" s="5" t="s">
        <v>499</v>
      </c>
      <c r="E39" s="5"/>
      <c r="F39" s="5" t="s">
        <v>669</v>
      </c>
      <c r="G39" s="9" t="n">
        <v>1</v>
      </c>
      <c r="H39" s="53" t="str">
        <f aca="false">IF(SUMPRODUCT((tl_target=$C39)*(tl_sub=H$4)*(tl_align="Primary"))&gt;0,"P",IF(SUMPRODUCT((tl_target=$C39)*(tl_sub=H$4))&gt;0,"S",""))</f>
        <v/>
      </c>
      <c r="I39" s="53" t="str">
        <f aca="false">IF(SUMPRODUCT((tl_target=$C39)*(tl_sub=I$4)*(tl_align="Primary"))&gt;0,"P",IF(SUMPRODUCT((tl_target=$C39)*(tl_sub=I$4))&gt;0,"S",""))</f>
        <v/>
      </c>
      <c r="J39" s="53" t="str">
        <f aca="false">IF(SUMPRODUCT((tl_target=$C39)*(tl_sub=J$4)*(tl_align="Primary"))&gt;0,"P",IF(SUMPRODUCT((tl_target=$C39)*(tl_sub=J$4))&gt;0,"S",""))</f>
        <v/>
      </c>
      <c r="K39" s="53" t="str">
        <f aca="false">IF(SUMPRODUCT((tl_target=$C39)*(tl_sub=K$4)*(tl_align="Primary"))&gt;0,"P",IF(SUMPRODUCT((tl_target=$C39)*(tl_sub=K$4))&gt;0,"S",""))</f>
        <v/>
      </c>
      <c r="L39" s="53" t="str">
        <f aca="false">IF(SUMPRODUCT((tl_target=$C39)*(tl_sub=L$4)*(tl_align="Primary"))&gt;0,"P",IF(SUMPRODUCT((tl_target=$C39)*(tl_sub=L$4))&gt;0,"S",""))</f>
        <v/>
      </c>
      <c r="M39" s="53" t="str">
        <f aca="false">IF(SUMPRODUCT((tl_target=$C39)*(tl_sub=M$4)*(tl_align="Primary"))&gt;0,"P",IF(SUMPRODUCT((tl_target=$C39)*(tl_sub=M$4))&gt;0,"S",""))</f>
        <v/>
      </c>
      <c r="N39" s="53" t="str">
        <f aca="false">IF(SUMPRODUCT((tl_target=$C39)*(tl_sub=N$4)*(tl_align="Primary"))&gt;0,"P",IF(SUMPRODUCT((tl_target=$C39)*(tl_sub=N$4))&gt;0,"S",""))</f>
        <v/>
      </c>
      <c r="O39" s="53" t="str">
        <f aca="false">IF(SUMPRODUCT((tl_target=$C39)*(tl_sub=O$4)*(tl_align="Primary"))&gt;0,"P",IF(SUMPRODUCT((tl_target=$C39)*(tl_sub=O$4))&gt;0,"S",""))</f>
        <v/>
      </c>
      <c r="P39" s="53" t="str">
        <f aca="false">IF(SUMPRODUCT((tl_target=$C39)*(tl_sub=P$4)*(tl_align="Primary"))&gt;0,"P",IF(SUMPRODUCT((tl_target=$C39)*(tl_sub=P$4))&gt;0,"S",""))</f>
        <v/>
      </c>
      <c r="Q39" s="53" t="str">
        <f aca="false">IF(SUMPRODUCT((tl_target=$C39)*(tl_sub=Q$4)*(tl_align="Primary"))&gt;0,"P",IF(SUMPRODUCT((tl_target=$C39)*(tl_sub=Q$4))&gt;0,"S",""))</f>
        <v/>
      </c>
      <c r="R39" s="69" t="str">
        <f aca="false">_xlfn.TEXTJOIN(", ",TRUE(),IF(SUMPRODUCT((tl_target=$C39)*(tl_principle="PP1"))&gt;0,"PP1",""),IF(SUMPRODUCT((tl_target=$C39)*(tl_principle="PP2"))&gt;0,"PP2",""),IF(SUMPRODUCT((tl_target=$C39)*(tl_principle="PP3"))&gt;0,"PP3",""),IF(SUMPRODUCT((tl_target=$C39)*(tl_principle="PP4"))&gt;0,"PP4",""))</f>
        <v/>
      </c>
      <c r="S39" s="9" t="n">
        <f aca="false">SUMPRODUCT(--(tl_target=$C39))</f>
        <v>0</v>
      </c>
      <c r="T39" s="53" t="str">
        <f aca="false">IF(SUMPRODUCT((tl_target=$C39)*(tl_align="Primary"))&gt;0,"Primary link",IF(S39&gt;0,"Secondary only","Gap"))</f>
        <v>Gap</v>
      </c>
      <c r="U39" s="66"/>
      <c r="V39" s="66"/>
      <c r="W39" s="66"/>
      <c r="X39" s="66"/>
      <c r="Y39" s="66"/>
    </row>
    <row r="40" customFormat="false" ht="35.05" hidden="false" customHeight="false" outlineLevel="0" collapsed="false">
      <c r="A40" s="23" t="n">
        <v>4</v>
      </c>
      <c r="B40" s="5" t="s">
        <v>302</v>
      </c>
      <c r="C40" s="13" t="s">
        <v>670</v>
      </c>
      <c r="D40" s="5" t="s">
        <v>612</v>
      </c>
      <c r="E40" s="5"/>
      <c r="F40" s="5" t="s">
        <v>671</v>
      </c>
      <c r="G40" s="9" t="n">
        <v>1</v>
      </c>
      <c r="H40" s="53" t="str">
        <f aca="false">IF(SUMPRODUCT((tl_target=$C40)*(tl_sub=H$4)*(tl_align="Primary"))&gt;0,"P",IF(SUMPRODUCT((tl_target=$C40)*(tl_sub=H$4))&gt;0,"S",""))</f>
        <v/>
      </c>
      <c r="I40" s="53" t="str">
        <f aca="false">IF(SUMPRODUCT((tl_target=$C40)*(tl_sub=I$4)*(tl_align="Primary"))&gt;0,"P",IF(SUMPRODUCT((tl_target=$C40)*(tl_sub=I$4))&gt;0,"S",""))</f>
        <v/>
      </c>
      <c r="J40" s="53" t="str">
        <f aca="false">IF(SUMPRODUCT((tl_target=$C40)*(tl_sub=J$4)*(tl_align="Primary"))&gt;0,"P",IF(SUMPRODUCT((tl_target=$C40)*(tl_sub=J$4))&gt;0,"S",""))</f>
        <v/>
      </c>
      <c r="K40" s="53" t="str">
        <f aca="false">IF(SUMPRODUCT((tl_target=$C40)*(tl_sub=K$4)*(tl_align="Primary"))&gt;0,"P",IF(SUMPRODUCT((tl_target=$C40)*(tl_sub=K$4))&gt;0,"S",""))</f>
        <v/>
      </c>
      <c r="L40" s="53" t="str">
        <f aca="false">IF(SUMPRODUCT((tl_target=$C40)*(tl_sub=L$4)*(tl_align="Primary"))&gt;0,"P",IF(SUMPRODUCT((tl_target=$C40)*(tl_sub=L$4))&gt;0,"S",""))</f>
        <v/>
      </c>
      <c r="M40" s="53" t="str">
        <f aca="false">IF(SUMPRODUCT((tl_target=$C40)*(tl_sub=M$4)*(tl_align="Primary"))&gt;0,"P",IF(SUMPRODUCT((tl_target=$C40)*(tl_sub=M$4))&gt;0,"S",""))</f>
        <v/>
      </c>
      <c r="N40" s="53" t="str">
        <f aca="false">IF(SUMPRODUCT((tl_target=$C40)*(tl_sub=N$4)*(tl_align="Primary"))&gt;0,"P",IF(SUMPRODUCT((tl_target=$C40)*(tl_sub=N$4))&gt;0,"S",""))</f>
        <v/>
      </c>
      <c r="O40" s="53" t="str">
        <f aca="false">IF(SUMPRODUCT((tl_target=$C40)*(tl_sub=O$4)*(tl_align="Primary"))&gt;0,"P",IF(SUMPRODUCT((tl_target=$C40)*(tl_sub=O$4))&gt;0,"S",""))</f>
        <v/>
      </c>
      <c r="P40" s="53" t="str">
        <f aca="false">IF(SUMPRODUCT((tl_target=$C40)*(tl_sub=P$4)*(tl_align="Primary"))&gt;0,"P",IF(SUMPRODUCT((tl_target=$C40)*(tl_sub=P$4))&gt;0,"S",""))</f>
        <v/>
      </c>
      <c r="Q40" s="53" t="str">
        <f aca="false">IF(SUMPRODUCT((tl_target=$C40)*(tl_sub=Q$4)*(tl_align="Primary"))&gt;0,"P",IF(SUMPRODUCT((tl_target=$C40)*(tl_sub=Q$4))&gt;0,"S",""))</f>
        <v/>
      </c>
      <c r="R40" s="69" t="str">
        <f aca="false">_xlfn.TEXTJOIN(", ",TRUE(),IF(SUMPRODUCT((tl_target=$C40)*(tl_principle="PP1"))&gt;0,"PP1",""),IF(SUMPRODUCT((tl_target=$C40)*(tl_principle="PP2"))&gt;0,"PP2",""),IF(SUMPRODUCT((tl_target=$C40)*(tl_principle="PP3"))&gt;0,"PP3",""),IF(SUMPRODUCT((tl_target=$C40)*(tl_principle="PP4"))&gt;0,"PP4",""))</f>
        <v/>
      </c>
      <c r="S40" s="9" t="n">
        <f aca="false">SUMPRODUCT(--(tl_target=$C40))</f>
        <v>0</v>
      </c>
      <c r="T40" s="53" t="str">
        <f aca="false">IF(SUMPRODUCT((tl_target=$C40)*(tl_align="Primary"))&gt;0,"Primary link",IF(S40&gt;0,"Secondary only","Gap"))</f>
        <v>Gap</v>
      </c>
      <c r="U40" s="66"/>
      <c r="V40" s="66"/>
      <c r="W40" s="66"/>
      <c r="X40" s="66"/>
      <c r="Y40" s="66"/>
    </row>
    <row r="41" customFormat="false" ht="68.65" hidden="false" customHeight="false" outlineLevel="0" collapsed="false">
      <c r="A41" s="23" t="n">
        <v>4</v>
      </c>
      <c r="B41" s="5" t="s">
        <v>302</v>
      </c>
      <c r="C41" s="13" t="s">
        <v>672</v>
      </c>
      <c r="D41" s="5" t="s">
        <v>612</v>
      </c>
      <c r="E41" s="5"/>
      <c r="F41" s="5" t="s">
        <v>673</v>
      </c>
      <c r="G41" s="9" t="n">
        <v>1</v>
      </c>
      <c r="H41" s="53" t="str">
        <f aca="false">IF(SUMPRODUCT((tl_target=$C41)*(tl_sub=H$4)*(tl_align="Primary"))&gt;0,"P",IF(SUMPRODUCT((tl_target=$C41)*(tl_sub=H$4))&gt;0,"S",""))</f>
        <v/>
      </c>
      <c r="I41" s="53" t="str">
        <f aca="false">IF(SUMPRODUCT((tl_target=$C41)*(tl_sub=I$4)*(tl_align="Primary"))&gt;0,"P",IF(SUMPRODUCT((tl_target=$C41)*(tl_sub=I$4))&gt;0,"S",""))</f>
        <v/>
      </c>
      <c r="J41" s="53" t="str">
        <f aca="false">IF(SUMPRODUCT((tl_target=$C41)*(tl_sub=J$4)*(tl_align="Primary"))&gt;0,"P",IF(SUMPRODUCT((tl_target=$C41)*(tl_sub=J$4))&gt;0,"S",""))</f>
        <v/>
      </c>
      <c r="K41" s="53" t="str">
        <f aca="false">IF(SUMPRODUCT((tl_target=$C41)*(tl_sub=K$4)*(tl_align="Primary"))&gt;0,"P",IF(SUMPRODUCT((tl_target=$C41)*(tl_sub=K$4))&gt;0,"S",""))</f>
        <v/>
      </c>
      <c r="L41" s="53" t="str">
        <f aca="false">IF(SUMPRODUCT((tl_target=$C41)*(tl_sub=L$4)*(tl_align="Primary"))&gt;0,"P",IF(SUMPRODUCT((tl_target=$C41)*(tl_sub=L$4))&gt;0,"S",""))</f>
        <v/>
      </c>
      <c r="M41" s="53" t="str">
        <f aca="false">IF(SUMPRODUCT((tl_target=$C41)*(tl_sub=M$4)*(tl_align="Primary"))&gt;0,"P",IF(SUMPRODUCT((tl_target=$C41)*(tl_sub=M$4))&gt;0,"S",""))</f>
        <v/>
      </c>
      <c r="N41" s="53" t="str">
        <f aca="false">IF(SUMPRODUCT((tl_target=$C41)*(tl_sub=N$4)*(tl_align="Primary"))&gt;0,"P",IF(SUMPRODUCT((tl_target=$C41)*(tl_sub=N$4))&gt;0,"S",""))</f>
        <v/>
      </c>
      <c r="O41" s="53" t="str">
        <f aca="false">IF(SUMPRODUCT((tl_target=$C41)*(tl_sub=O$4)*(tl_align="Primary"))&gt;0,"P",IF(SUMPRODUCT((tl_target=$C41)*(tl_sub=O$4))&gt;0,"S",""))</f>
        <v/>
      </c>
      <c r="P41" s="53" t="str">
        <f aca="false">IF(SUMPRODUCT((tl_target=$C41)*(tl_sub=P$4)*(tl_align="Primary"))&gt;0,"P",IF(SUMPRODUCT((tl_target=$C41)*(tl_sub=P$4))&gt;0,"S",""))</f>
        <v/>
      </c>
      <c r="Q41" s="53" t="str">
        <f aca="false">IF(SUMPRODUCT((tl_target=$C41)*(tl_sub=Q$4)*(tl_align="Primary"))&gt;0,"P",IF(SUMPRODUCT((tl_target=$C41)*(tl_sub=Q$4))&gt;0,"S",""))</f>
        <v/>
      </c>
      <c r="R41" s="69" t="str">
        <f aca="false">_xlfn.TEXTJOIN(", ",TRUE(),IF(SUMPRODUCT((tl_target=$C41)*(tl_principle="PP1"))&gt;0,"PP1",""),IF(SUMPRODUCT((tl_target=$C41)*(tl_principle="PP2"))&gt;0,"PP2",""),IF(SUMPRODUCT((tl_target=$C41)*(tl_principle="PP3"))&gt;0,"PP3",""),IF(SUMPRODUCT((tl_target=$C41)*(tl_principle="PP4"))&gt;0,"PP4",""))</f>
        <v/>
      </c>
      <c r="S41" s="9" t="n">
        <f aca="false">SUMPRODUCT(--(tl_target=$C41))</f>
        <v>0</v>
      </c>
      <c r="T41" s="53" t="str">
        <f aca="false">IF(SUMPRODUCT((tl_target=$C41)*(tl_align="Primary"))&gt;0,"Primary link",IF(S41&gt;0,"Secondary only","Gap"))</f>
        <v>Gap</v>
      </c>
      <c r="U41" s="66"/>
      <c r="V41" s="66"/>
      <c r="W41" s="66"/>
      <c r="X41" s="66"/>
      <c r="Y41" s="66"/>
    </row>
    <row r="42" customFormat="false" ht="35.05" hidden="false" customHeight="false" outlineLevel="0" collapsed="false">
      <c r="A42" s="23" t="n">
        <v>4</v>
      </c>
      <c r="B42" s="5" t="s">
        <v>302</v>
      </c>
      <c r="C42" s="13" t="s">
        <v>674</v>
      </c>
      <c r="D42" s="5" t="s">
        <v>612</v>
      </c>
      <c r="E42" s="5"/>
      <c r="F42" s="5" t="s">
        <v>675</v>
      </c>
      <c r="G42" s="9" t="n">
        <v>1</v>
      </c>
      <c r="H42" s="53" t="str">
        <f aca="false">IF(SUMPRODUCT((tl_target=$C42)*(tl_sub=H$4)*(tl_align="Primary"))&gt;0,"P",IF(SUMPRODUCT((tl_target=$C42)*(tl_sub=H$4))&gt;0,"S",""))</f>
        <v/>
      </c>
      <c r="I42" s="53" t="str">
        <f aca="false">IF(SUMPRODUCT((tl_target=$C42)*(tl_sub=I$4)*(tl_align="Primary"))&gt;0,"P",IF(SUMPRODUCT((tl_target=$C42)*(tl_sub=I$4))&gt;0,"S",""))</f>
        <v/>
      </c>
      <c r="J42" s="53" t="str">
        <f aca="false">IF(SUMPRODUCT((tl_target=$C42)*(tl_sub=J$4)*(tl_align="Primary"))&gt;0,"P",IF(SUMPRODUCT((tl_target=$C42)*(tl_sub=J$4))&gt;0,"S",""))</f>
        <v/>
      </c>
      <c r="K42" s="53" t="str">
        <f aca="false">IF(SUMPRODUCT((tl_target=$C42)*(tl_sub=K$4)*(tl_align="Primary"))&gt;0,"P",IF(SUMPRODUCT((tl_target=$C42)*(tl_sub=K$4))&gt;0,"S",""))</f>
        <v/>
      </c>
      <c r="L42" s="53" t="str">
        <f aca="false">IF(SUMPRODUCT((tl_target=$C42)*(tl_sub=L$4)*(tl_align="Primary"))&gt;0,"P",IF(SUMPRODUCT((tl_target=$C42)*(tl_sub=L$4))&gt;0,"S",""))</f>
        <v/>
      </c>
      <c r="M42" s="53" t="str">
        <f aca="false">IF(SUMPRODUCT((tl_target=$C42)*(tl_sub=M$4)*(tl_align="Primary"))&gt;0,"P",IF(SUMPRODUCT((tl_target=$C42)*(tl_sub=M$4))&gt;0,"S",""))</f>
        <v/>
      </c>
      <c r="N42" s="53" t="str">
        <f aca="false">IF(SUMPRODUCT((tl_target=$C42)*(tl_sub=N$4)*(tl_align="Primary"))&gt;0,"P",IF(SUMPRODUCT((tl_target=$C42)*(tl_sub=N$4))&gt;0,"S",""))</f>
        <v/>
      </c>
      <c r="O42" s="53" t="str">
        <f aca="false">IF(SUMPRODUCT((tl_target=$C42)*(tl_sub=O$4)*(tl_align="Primary"))&gt;0,"P",IF(SUMPRODUCT((tl_target=$C42)*(tl_sub=O$4))&gt;0,"S",""))</f>
        <v/>
      </c>
      <c r="P42" s="53" t="str">
        <f aca="false">IF(SUMPRODUCT((tl_target=$C42)*(tl_sub=P$4)*(tl_align="Primary"))&gt;0,"P",IF(SUMPRODUCT((tl_target=$C42)*(tl_sub=P$4))&gt;0,"S",""))</f>
        <v/>
      </c>
      <c r="Q42" s="53" t="str">
        <f aca="false">IF(SUMPRODUCT((tl_target=$C42)*(tl_sub=Q$4)*(tl_align="Primary"))&gt;0,"P",IF(SUMPRODUCT((tl_target=$C42)*(tl_sub=Q$4))&gt;0,"S",""))</f>
        <v/>
      </c>
      <c r="R42" s="69" t="str">
        <f aca="false">_xlfn.TEXTJOIN(", ",TRUE(),IF(SUMPRODUCT((tl_target=$C42)*(tl_principle="PP1"))&gt;0,"PP1",""),IF(SUMPRODUCT((tl_target=$C42)*(tl_principle="PP2"))&gt;0,"PP2",""),IF(SUMPRODUCT((tl_target=$C42)*(tl_principle="PP3"))&gt;0,"PP3",""),IF(SUMPRODUCT((tl_target=$C42)*(tl_principle="PP4"))&gt;0,"PP4",""))</f>
        <v/>
      </c>
      <c r="S42" s="9" t="n">
        <f aca="false">SUMPRODUCT(--(tl_target=$C42))</f>
        <v>0</v>
      </c>
      <c r="T42" s="53" t="str">
        <f aca="false">IF(SUMPRODUCT((tl_target=$C42)*(tl_align="Primary"))&gt;0,"Primary link",IF(S42&gt;0,"Secondary only","Gap"))</f>
        <v>Gap</v>
      </c>
      <c r="U42" s="66"/>
      <c r="V42" s="66"/>
      <c r="W42" s="66"/>
      <c r="X42" s="66"/>
      <c r="Y42" s="66"/>
    </row>
    <row r="43" customFormat="false" ht="15" hidden="false" customHeight="false" outlineLevel="0" collapsed="false">
      <c r="A43" s="57" t="n">
        <v>5</v>
      </c>
      <c r="B43" s="5" t="s">
        <v>544</v>
      </c>
      <c r="C43" s="13" t="s">
        <v>676</v>
      </c>
      <c r="D43" s="5" t="s">
        <v>499</v>
      </c>
      <c r="E43" s="5"/>
      <c r="F43" s="5" t="s">
        <v>677</v>
      </c>
      <c r="G43" s="9" t="n">
        <v>1</v>
      </c>
      <c r="H43" s="53" t="str">
        <f aca="false">IF(SUMPRODUCT((tl_target=$C43)*(tl_sub=H$4)*(tl_align="Primary"))&gt;0,"P",IF(SUMPRODUCT((tl_target=$C43)*(tl_sub=H$4))&gt;0,"S",""))</f>
        <v/>
      </c>
      <c r="I43" s="53" t="str">
        <f aca="false">IF(SUMPRODUCT((tl_target=$C43)*(tl_sub=I$4)*(tl_align="Primary"))&gt;0,"P",IF(SUMPRODUCT((tl_target=$C43)*(tl_sub=I$4))&gt;0,"S",""))</f>
        <v/>
      </c>
      <c r="J43" s="53" t="str">
        <f aca="false">IF(SUMPRODUCT((tl_target=$C43)*(tl_sub=J$4)*(tl_align="Primary"))&gt;0,"P",IF(SUMPRODUCT((tl_target=$C43)*(tl_sub=J$4))&gt;0,"S",""))</f>
        <v/>
      </c>
      <c r="K43" s="53" t="str">
        <f aca="false">IF(SUMPRODUCT((tl_target=$C43)*(tl_sub=K$4)*(tl_align="Primary"))&gt;0,"P",IF(SUMPRODUCT((tl_target=$C43)*(tl_sub=K$4))&gt;0,"S",""))</f>
        <v/>
      </c>
      <c r="L43" s="53" t="str">
        <f aca="false">IF(SUMPRODUCT((tl_target=$C43)*(tl_sub=L$4)*(tl_align="Primary"))&gt;0,"P",IF(SUMPRODUCT((tl_target=$C43)*(tl_sub=L$4))&gt;0,"S",""))</f>
        <v/>
      </c>
      <c r="M43" s="53" t="str">
        <f aca="false">IF(SUMPRODUCT((tl_target=$C43)*(tl_sub=M$4)*(tl_align="Primary"))&gt;0,"P",IF(SUMPRODUCT((tl_target=$C43)*(tl_sub=M$4))&gt;0,"S",""))</f>
        <v/>
      </c>
      <c r="N43" s="53" t="str">
        <f aca="false">IF(SUMPRODUCT((tl_target=$C43)*(tl_sub=N$4)*(tl_align="Primary"))&gt;0,"P",IF(SUMPRODUCT((tl_target=$C43)*(tl_sub=N$4))&gt;0,"S",""))</f>
        <v/>
      </c>
      <c r="O43" s="53" t="str">
        <f aca="false">IF(SUMPRODUCT((tl_target=$C43)*(tl_sub=O$4)*(tl_align="Primary"))&gt;0,"P",IF(SUMPRODUCT((tl_target=$C43)*(tl_sub=O$4))&gt;0,"S",""))</f>
        <v/>
      </c>
      <c r="P43" s="53" t="str">
        <f aca="false">IF(SUMPRODUCT((tl_target=$C43)*(tl_sub=P$4)*(tl_align="Primary"))&gt;0,"P",IF(SUMPRODUCT((tl_target=$C43)*(tl_sub=P$4))&gt;0,"S",""))</f>
        <v/>
      </c>
      <c r="Q43" s="53" t="str">
        <f aca="false">IF(SUMPRODUCT((tl_target=$C43)*(tl_sub=Q$4)*(tl_align="Primary"))&gt;0,"P",IF(SUMPRODUCT((tl_target=$C43)*(tl_sub=Q$4))&gt;0,"S",""))</f>
        <v/>
      </c>
      <c r="R43" s="69" t="str">
        <f aca="false">_xlfn.TEXTJOIN(", ",TRUE(),IF(SUMPRODUCT((tl_target=$C43)*(tl_principle="PP1"))&gt;0,"PP1",""),IF(SUMPRODUCT((tl_target=$C43)*(tl_principle="PP2"))&gt;0,"PP2",""),IF(SUMPRODUCT((tl_target=$C43)*(tl_principle="PP3"))&gt;0,"PP3",""),IF(SUMPRODUCT((tl_target=$C43)*(tl_principle="PP4"))&gt;0,"PP4",""))</f>
        <v/>
      </c>
      <c r="S43" s="9" t="n">
        <f aca="false">SUMPRODUCT(--(tl_target=$C43))</f>
        <v>0</v>
      </c>
      <c r="T43" s="53" t="str">
        <f aca="false">IF(SUMPRODUCT((tl_target=$C43)*(tl_align="Primary"))&gt;0,"Primary link",IF(S43&gt;0,"Secondary only","Gap"))</f>
        <v>Gap</v>
      </c>
      <c r="U43" s="66"/>
      <c r="V43" s="66"/>
      <c r="W43" s="66"/>
      <c r="X43" s="66"/>
      <c r="Y43" s="66"/>
    </row>
    <row r="44" customFormat="false" ht="23.85" hidden="false" customHeight="false" outlineLevel="0" collapsed="false">
      <c r="A44" s="57" t="n">
        <v>5</v>
      </c>
      <c r="B44" s="5" t="s">
        <v>544</v>
      </c>
      <c r="C44" s="13" t="s">
        <v>678</v>
      </c>
      <c r="D44" s="5" t="s">
        <v>499</v>
      </c>
      <c r="E44" s="5"/>
      <c r="F44" s="5" t="s">
        <v>679</v>
      </c>
      <c r="G44" s="9" t="n">
        <v>2</v>
      </c>
      <c r="H44" s="53" t="str">
        <f aca="false">IF(SUMPRODUCT((tl_target=$C44)*(tl_sub=H$4)*(tl_align="Primary"))&gt;0,"P",IF(SUMPRODUCT((tl_target=$C44)*(tl_sub=H$4))&gt;0,"S",""))</f>
        <v/>
      </c>
      <c r="I44" s="53" t="str">
        <f aca="false">IF(SUMPRODUCT((tl_target=$C44)*(tl_sub=I$4)*(tl_align="Primary"))&gt;0,"P",IF(SUMPRODUCT((tl_target=$C44)*(tl_sub=I$4))&gt;0,"S",""))</f>
        <v/>
      </c>
      <c r="J44" s="53" t="str">
        <f aca="false">IF(SUMPRODUCT((tl_target=$C44)*(tl_sub=J$4)*(tl_align="Primary"))&gt;0,"P",IF(SUMPRODUCT((tl_target=$C44)*(tl_sub=J$4))&gt;0,"S",""))</f>
        <v/>
      </c>
      <c r="K44" s="53" t="str">
        <f aca="false">IF(SUMPRODUCT((tl_target=$C44)*(tl_sub=K$4)*(tl_align="Primary"))&gt;0,"P",IF(SUMPRODUCT((tl_target=$C44)*(tl_sub=K$4))&gt;0,"S",""))</f>
        <v/>
      </c>
      <c r="L44" s="53" t="str">
        <f aca="false">IF(SUMPRODUCT((tl_target=$C44)*(tl_sub=L$4)*(tl_align="Primary"))&gt;0,"P",IF(SUMPRODUCT((tl_target=$C44)*(tl_sub=L$4))&gt;0,"S",""))</f>
        <v/>
      </c>
      <c r="M44" s="53" t="str">
        <f aca="false">IF(SUMPRODUCT((tl_target=$C44)*(tl_sub=M$4)*(tl_align="Primary"))&gt;0,"P",IF(SUMPRODUCT((tl_target=$C44)*(tl_sub=M$4))&gt;0,"S",""))</f>
        <v/>
      </c>
      <c r="N44" s="53" t="str">
        <f aca="false">IF(SUMPRODUCT((tl_target=$C44)*(tl_sub=N$4)*(tl_align="Primary"))&gt;0,"P",IF(SUMPRODUCT((tl_target=$C44)*(tl_sub=N$4))&gt;0,"S",""))</f>
        <v/>
      </c>
      <c r="O44" s="53" t="str">
        <f aca="false">IF(SUMPRODUCT((tl_target=$C44)*(tl_sub=O$4)*(tl_align="Primary"))&gt;0,"P",IF(SUMPRODUCT((tl_target=$C44)*(tl_sub=O$4))&gt;0,"S",""))</f>
        <v/>
      </c>
      <c r="P44" s="53" t="str">
        <f aca="false">IF(SUMPRODUCT((tl_target=$C44)*(tl_sub=P$4)*(tl_align="Primary"))&gt;0,"P",IF(SUMPRODUCT((tl_target=$C44)*(tl_sub=P$4))&gt;0,"S",""))</f>
        <v/>
      </c>
      <c r="Q44" s="53" t="str">
        <f aca="false">IF(SUMPRODUCT((tl_target=$C44)*(tl_sub=Q$4)*(tl_align="Primary"))&gt;0,"P",IF(SUMPRODUCT((tl_target=$C44)*(tl_sub=Q$4))&gt;0,"S",""))</f>
        <v/>
      </c>
      <c r="R44" s="69" t="str">
        <f aca="false">_xlfn.TEXTJOIN(", ",TRUE(),IF(SUMPRODUCT((tl_target=$C44)*(tl_principle="PP1"))&gt;0,"PP1",""),IF(SUMPRODUCT((tl_target=$C44)*(tl_principle="PP2"))&gt;0,"PP2",""),IF(SUMPRODUCT((tl_target=$C44)*(tl_principle="PP3"))&gt;0,"PP3",""),IF(SUMPRODUCT((tl_target=$C44)*(tl_principle="PP4"))&gt;0,"PP4",""))</f>
        <v/>
      </c>
      <c r="S44" s="9" t="n">
        <f aca="false">SUMPRODUCT(--(tl_target=$C44))</f>
        <v>0</v>
      </c>
      <c r="T44" s="53" t="str">
        <f aca="false">IF(SUMPRODUCT((tl_target=$C44)*(tl_align="Primary"))&gt;0,"Primary link",IF(S44&gt;0,"Secondary only","Gap"))</f>
        <v>Gap</v>
      </c>
      <c r="U44" s="66"/>
      <c r="V44" s="66"/>
      <c r="W44" s="66"/>
      <c r="X44" s="66"/>
      <c r="Y44" s="66"/>
    </row>
    <row r="45" customFormat="false" ht="23.85" hidden="false" customHeight="false" outlineLevel="0" collapsed="false">
      <c r="A45" s="57" t="n">
        <v>5</v>
      </c>
      <c r="B45" s="5" t="s">
        <v>544</v>
      </c>
      <c r="C45" s="13" t="s">
        <v>680</v>
      </c>
      <c r="D45" s="5" t="s">
        <v>499</v>
      </c>
      <c r="E45" s="5"/>
      <c r="F45" s="5" t="s">
        <v>681</v>
      </c>
      <c r="G45" s="9" t="n">
        <v>2</v>
      </c>
      <c r="H45" s="53" t="str">
        <f aca="false">IF(SUMPRODUCT((tl_target=$C45)*(tl_sub=H$4)*(tl_align="Primary"))&gt;0,"P",IF(SUMPRODUCT((tl_target=$C45)*(tl_sub=H$4))&gt;0,"S",""))</f>
        <v/>
      </c>
      <c r="I45" s="53" t="str">
        <f aca="false">IF(SUMPRODUCT((tl_target=$C45)*(tl_sub=I$4)*(tl_align="Primary"))&gt;0,"P",IF(SUMPRODUCT((tl_target=$C45)*(tl_sub=I$4))&gt;0,"S",""))</f>
        <v/>
      </c>
      <c r="J45" s="53" t="str">
        <f aca="false">IF(SUMPRODUCT((tl_target=$C45)*(tl_sub=J$4)*(tl_align="Primary"))&gt;0,"P",IF(SUMPRODUCT((tl_target=$C45)*(tl_sub=J$4))&gt;0,"S",""))</f>
        <v/>
      </c>
      <c r="K45" s="53" t="str">
        <f aca="false">IF(SUMPRODUCT((tl_target=$C45)*(tl_sub=K$4)*(tl_align="Primary"))&gt;0,"P",IF(SUMPRODUCT((tl_target=$C45)*(tl_sub=K$4))&gt;0,"S",""))</f>
        <v/>
      </c>
      <c r="L45" s="53" t="str">
        <f aca="false">IF(SUMPRODUCT((tl_target=$C45)*(tl_sub=L$4)*(tl_align="Primary"))&gt;0,"P",IF(SUMPRODUCT((tl_target=$C45)*(tl_sub=L$4))&gt;0,"S",""))</f>
        <v/>
      </c>
      <c r="M45" s="53" t="str">
        <f aca="false">IF(SUMPRODUCT((tl_target=$C45)*(tl_sub=M$4)*(tl_align="Primary"))&gt;0,"P",IF(SUMPRODUCT((tl_target=$C45)*(tl_sub=M$4))&gt;0,"S",""))</f>
        <v/>
      </c>
      <c r="N45" s="53" t="str">
        <f aca="false">IF(SUMPRODUCT((tl_target=$C45)*(tl_sub=N$4)*(tl_align="Primary"))&gt;0,"P",IF(SUMPRODUCT((tl_target=$C45)*(tl_sub=N$4))&gt;0,"S",""))</f>
        <v/>
      </c>
      <c r="O45" s="53" t="str">
        <f aca="false">IF(SUMPRODUCT((tl_target=$C45)*(tl_sub=O$4)*(tl_align="Primary"))&gt;0,"P",IF(SUMPRODUCT((tl_target=$C45)*(tl_sub=O$4))&gt;0,"S",""))</f>
        <v/>
      </c>
      <c r="P45" s="53" t="str">
        <f aca="false">IF(SUMPRODUCT((tl_target=$C45)*(tl_sub=P$4)*(tl_align="Primary"))&gt;0,"P",IF(SUMPRODUCT((tl_target=$C45)*(tl_sub=P$4))&gt;0,"S",""))</f>
        <v/>
      </c>
      <c r="Q45" s="53" t="str">
        <f aca="false">IF(SUMPRODUCT((tl_target=$C45)*(tl_sub=Q$4)*(tl_align="Primary"))&gt;0,"P",IF(SUMPRODUCT((tl_target=$C45)*(tl_sub=Q$4))&gt;0,"S",""))</f>
        <v/>
      </c>
      <c r="R45" s="69" t="str">
        <f aca="false">_xlfn.TEXTJOIN(", ",TRUE(),IF(SUMPRODUCT((tl_target=$C45)*(tl_principle="PP1"))&gt;0,"PP1",""),IF(SUMPRODUCT((tl_target=$C45)*(tl_principle="PP2"))&gt;0,"PP2",""),IF(SUMPRODUCT((tl_target=$C45)*(tl_principle="PP3"))&gt;0,"PP3",""),IF(SUMPRODUCT((tl_target=$C45)*(tl_principle="PP4"))&gt;0,"PP4",""))</f>
        <v/>
      </c>
      <c r="S45" s="9" t="n">
        <f aca="false">SUMPRODUCT(--(tl_target=$C45))</f>
        <v>0</v>
      </c>
      <c r="T45" s="53" t="str">
        <f aca="false">IF(SUMPRODUCT((tl_target=$C45)*(tl_align="Primary"))&gt;0,"Primary link",IF(S45&gt;0,"Secondary only","Gap"))</f>
        <v>Gap</v>
      </c>
      <c r="U45" s="66"/>
      <c r="V45" s="66"/>
      <c r="W45" s="66"/>
      <c r="X45" s="66"/>
      <c r="Y45" s="66"/>
    </row>
    <row r="46" customFormat="false" ht="46.25" hidden="false" customHeight="false" outlineLevel="0" collapsed="false">
      <c r="A46" s="57" t="n">
        <v>5</v>
      </c>
      <c r="B46" s="5" t="s">
        <v>544</v>
      </c>
      <c r="C46" s="13" t="s">
        <v>682</v>
      </c>
      <c r="D46" s="5" t="s">
        <v>499</v>
      </c>
      <c r="E46" s="5"/>
      <c r="F46" s="5" t="s">
        <v>683</v>
      </c>
      <c r="G46" s="9" t="n">
        <v>1</v>
      </c>
      <c r="H46" s="53" t="str">
        <f aca="false">IF(SUMPRODUCT((tl_target=$C46)*(tl_sub=H$4)*(tl_align="Primary"))&gt;0,"P",IF(SUMPRODUCT((tl_target=$C46)*(tl_sub=H$4))&gt;0,"S",""))</f>
        <v/>
      </c>
      <c r="I46" s="53" t="str">
        <f aca="false">IF(SUMPRODUCT((tl_target=$C46)*(tl_sub=I$4)*(tl_align="Primary"))&gt;0,"P",IF(SUMPRODUCT((tl_target=$C46)*(tl_sub=I$4))&gt;0,"S",""))</f>
        <v/>
      </c>
      <c r="J46" s="53" t="str">
        <f aca="false">IF(SUMPRODUCT((tl_target=$C46)*(tl_sub=J$4)*(tl_align="Primary"))&gt;0,"P",IF(SUMPRODUCT((tl_target=$C46)*(tl_sub=J$4))&gt;0,"S",""))</f>
        <v/>
      </c>
      <c r="K46" s="53" t="str">
        <f aca="false">IF(SUMPRODUCT((tl_target=$C46)*(tl_sub=K$4)*(tl_align="Primary"))&gt;0,"P",IF(SUMPRODUCT((tl_target=$C46)*(tl_sub=K$4))&gt;0,"S",""))</f>
        <v/>
      </c>
      <c r="L46" s="53" t="str">
        <f aca="false">IF(SUMPRODUCT((tl_target=$C46)*(tl_sub=L$4)*(tl_align="Primary"))&gt;0,"P",IF(SUMPRODUCT((tl_target=$C46)*(tl_sub=L$4))&gt;0,"S",""))</f>
        <v/>
      </c>
      <c r="M46" s="53" t="str">
        <f aca="false">IF(SUMPRODUCT((tl_target=$C46)*(tl_sub=M$4)*(tl_align="Primary"))&gt;0,"P",IF(SUMPRODUCT((tl_target=$C46)*(tl_sub=M$4))&gt;0,"S",""))</f>
        <v/>
      </c>
      <c r="N46" s="53" t="str">
        <f aca="false">IF(SUMPRODUCT((tl_target=$C46)*(tl_sub=N$4)*(tl_align="Primary"))&gt;0,"P",IF(SUMPRODUCT((tl_target=$C46)*(tl_sub=N$4))&gt;0,"S",""))</f>
        <v/>
      </c>
      <c r="O46" s="53" t="str">
        <f aca="false">IF(SUMPRODUCT((tl_target=$C46)*(tl_sub=O$4)*(tl_align="Primary"))&gt;0,"P",IF(SUMPRODUCT((tl_target=$C46)*(tl_sub=O$4))&gt;0,"S",""))</f>
        <v/>
      </c>
      <c r="P46" s="53" t="str">
        <f aca="false">IF(SUMPRODUCT((tl_target=$C46)*(tl_sub=P$4)*(tl_align="Primary"))&gt;0,"P",IF(SUMPRODUCT((tl_target=$C46)*(tl_sub=P$4))&gt;0,"S",""))</f>
        <v/>
      </c>
      <c r="Q46" s="53" t="str">
        <f aca="false">IF(SUMPRODUCT((tl_target=$C46)*(tl_sub=Q$4)*(tl_align="Primary"))&gt;0,"P",IF(SUMPRODUCT((tl_target=$C46)*(tl_sub=Q$4))&gt;0,"S",""))</f>
        <v/>
      </c>
      <c r="R46" s="69" t="str">
        <f aca="false">_xlfn.TEXTJOIN(", ",TRUE(),IF(SUMPRODUCT((tl_target=$C46)*(tl_principle="PP1"))&gt;0,"PP1",""),IF(SUMPRODUCT((tl_target=$C46)*(tl_principle="PP2"))&gt;0,"PP2",""),IF(SUMPRODUCT((tl_target=$C46)*(tl_principle="PP3"))&gt;0,"PP3",""),IF(SUMPRODUCT((tl_target=$C46)*(tl_principle="PP4"))&gt;0,"PP4",""))</f>
        <v/>
      </c>
      <c r="S46" s="9" t="n">
        <f aca="false">SUMPRODUCT(--(tl_target=$C46))</f>
        <v>0</v>
      </c>
      <c r="T46" s="53" t="str">
        <f aca="false">IF(SUMPRODUCT((tl_target=$C46)*(tl_align="Primary"))&gt;0,"Primary link",IF(S46&gt;0,"Secondary only","Gap"))</f>
        <v>Gap</v>
      </c>
      <c r="U46" s="66"/>
      <c r="V46" s="66"/>
      <c r="W46" s="66"/>
      <c r="X46" s="66"/>
      <c r="Y46" s="66"/>
    </row>
    <row r="47" customFormat="false" ht="23.85" hidden="false" customHeight="false" outlineLevel="0" collapsed="false">
      <c r="A47" s="57" t="n">
        <v>5</v>
      </c>
      <c r="B47" s="5" t="s">
        <v>544</v>
      </c>
      <c r="C47" s="13" t="s">
        <v>684</v>
      </c>
      <c r="D47" s="5" t="s">
        <v>499</v>
      </c>
      <c r="E47" s="5"/>
      <c r="F47" s="5" t="s">
        <v>685</v>
      </c>
      <c r="G47" s="9" t="n">
        <v>2</v>
      </c>
      <c r="H47" s="53" t="str">
        <f aca="false">IF(SUMPRODUCT((tl_target=$C47)*(tl_sub=H$4)*(tl_align="Primary"))&gt;0,"P",IF(SUMPRODUCT((tl_target=$C47)*(tl_sub=H$4))&gt;0,"S",""))</f>
        <v/>
      </c>
      <c r="I47" s="53" t="str">
        <f aca="false">IF(SUMPRODUCT((tl_target=$C47)*(tl_sub=I$4)*(tl_align="Primary"))&gt;0,"P",IF(SUMPRODUCT((tl_target=$C47)*(tl_sub=I$4))&gt;0,"S",""))</f>
        <v/>
      </c>
      <c r="J47" s="53" t="str">
        <f aca="false">IF(SUMPRODUCT((tl_target=$C47)*(tl_sub=J$4)*(tl_align="Primary"))&gt;0,"P",IF(SUMPRODUCT((tl_target=$C47)*(tl_sub=J$4))&gt;0,"S",""))</f>
        <v/>
      </c>
      <c r="K47" s="53" t="str">
        <f aca="false">IF(SUMPRODUCT((tl_target=$C47)*(tl_sub=K$4)*(tl_align="Primary"))&gt;0,"P",IF(SUMPRODUCT((tl_target=$C47)*(tl_sub=K$4))&gt;0,"S",""))</f>
        <v/>
      </c>
      <c r="L47" s="53" t="str">
        <f aca="false">IF(SUMPRODUCT((tl_target=$C47)*(tl_sub=L$4)*(tl_align="Primary"))&gt;0,"P",IF(SUMPRODUCT((tl_target=$C47)*(tl_sub=L$4))&gt;0,"S",""))</f>
        <v/>
      </c>
      <c r="M47" s="53" t="str">
        <f aca="false">IF(SUMPRODUCT((tl_target=$C47)*(tl_sub=M$4)*(tl_align="Primary"))&gt;0,"P",IF(SUMPRODUCT((tl_target=$C47)*(tl_sub=M$4))&gt;0,"S",""))</f>
        <v/>
      </c>
      <c r="N47" s="53" t="str">
        <f aca="false">IF(SUMPRODUCT((tl_target=$C47)*(tl_sub=N$4)*(tl_align="Primary"))&gt;0,"P",IF(SUMPRODUCT((tl_target=$C47)*(tl_sub=N$4))&gt;0,"S",""))</f>
        <v/>
      </c>
      <c r="O47" s="53" t="str">
        <f aca="false">IF(SUMPRODUCT((tl_target=$C47)*(tl_sub=O$4)*(tl_align="Primary"))&gt;0,"P",IF(SUMPRODUCT((tl_target=$C47)*(tl_sub=O$4))&gt;0,"S",""))</f>
        <v/>
      </c>
      <c r="P47" s="53" t="str">
        <f aca="false">IF(SUMPRODUCT((tl_target=$C47)*(tl_sub=P$4)*(tl_align="Primary"))&gt;0,"P",IF(SUMPRODUCT((tl_target=$C47)*(tl_sub=P$4))&gt;0,"S",""))</f>
        <v/>
      </c>
      <c r="Q47" s="53" t="str">
        <f aca="false">IF(SUMPRODUCT((tl_target=$C47)*(tl_sub=Q$4)*(tl_align="Primary"))&gt;0,"P",IF(SUMPRODUCT((tl_target=$C47)*(tl_sub=Q$4))&gt;0,"S",""))</f>
        <v/>
      </c>
      <c r="R47" s="69" t="str">
        <f aca="false">_xlfn.TEXTJOIN(", ",TRUE(),IF(SUMPRODUCT((tl_target=$C47)*(tl_principle="PP1"))&gt;0,"PP1",""),IF(SUMPRODUCT((tl_target=$C47)*(tl_principle="PP2"))&gt;0,"PP2",""),IF(SUMPRODUCT((tl_target=$C47)*(tl_principle="PP3"))&gt;0,"PP3",""),IF(SUMPRODUCT((tl_target=$C47)*(tl_principle="PP4"))&gt;0,"PP4",""))</f>
        <v/>
      </c>
      <c r="S47" s="9" t="n">
        <f aca="false">SUMPRODUCT(--(tl_target=$C47))</f>
        <v>0</v>
      </c>
      <c r="T47" s="53" t="str">
        <f aca="false">IF(SUMPRODUCT((tl_target=$C47)*(tl_align="Primary"))&gt;0,"Primary link",IF(S47&gt;0,"Secondary only","Gap"))</f>
        <v>Gap</v>
      </c>
      <c r="U47" s="66"/>
      <c r="V47" s="66"/>
      <c r="W47" s="66"/>
      <c r="X47" s="66"/>
      <c r="Y47" s="66"/>
    </row>
    <row r="48" customFormat="false" ht="46.25" hidden="false" customHeight="false" outlineLevel="0" collapsed="false">
      <c r="A48" s="57" t="n">
        <v>5</v>
      </c>
      <c r="B48" s="5" t="s">
        <v>544</v>
      </c>
      <c r="C48" s="13" t="s">
        <v>686</v>
      </c>
      <c r="D48" s="5" t="s">
        <v>499</v>
      </c>
      <c r="E48" s="5"/>
      <c r="F48" s="5" t="s">
        <v>687</v>
      </c>
      <c r="G48" s="9" t="n">
        <v>2</v>
      </c>
      <c r="H48" s="53" t="str">
        <f aca="false">IF(SUMPRODUCT((tl_target=$C48)*(tl_sub=H$4)*(tl_align="Primary"))&gt;0,"P",IF(SUMPRODUCT((tl_target=$C48)*(tl_sub=H$4))&gt;0,"S",""))</f>
        <v/>
      </c>
      <c r="I48" s="53" t="str">
        <f aca="false">IF(SUMPRODUCT((tl_target=$C48)*(tl_sub=I$4)*(tl_align="Primary"))&gt;0,"P",IF(SUMPRODUCT((tl_target=$C48)*(tl_sub=I$4))&gt;0,"S",""))</f>
        <v/>
      </c>
      <c r="J48" s="53" t="str">
        <f aca="false">IF(SUMPRODUCT((tl_target=$C48)*(tl_sub=J$4)*(tl_align="Primary"))&gt;0,"P",IF(SUMPRODUCT((tl_target=$C48)*(tl_sub=J$4))&gt;0,"S",""))</f>
        <v/>
      </c>
      <c r="K48" s="53" t="str">
        <f aca="false">IF(SUMPRODUCT((tl_target=$C48)*(tl_sub=K$4)*(tl_align="Primary"))&gt;0,"P",IF(SUMPRODUCT((tl_target=$C48)*(tl_sub=K$4))&gt;0,"S",""))</f>
        <v/>
      </c>
      <c r="L48" s="53" t="str">
        <f aca="false">IF(SUMPRODUCT((tl_target=$C48)*(tl_sub=L$4)*(tl_align="Primary"))&gt;0,"P",IF(SUMPRODUCT((tl_target=$C48)*(tl_sub=L$4))&gt;0,"S",""))</f>
        <v/>
      </c>
      <c r="M48" s="53" t="str">
        <f aca="false">IF(SUMPRODUCT((tl_target=$C48)*(tl_sub=M$4)*(tl_align="Primary"))&gt;0,"P",IF(SUMPRODUCT((tl_target=$C48)*(tl_sub=M$4))&gt;0,"S",""))</f>
        <v/>
      </c>
      <c r="N48" s="53" t="str">
        <f aca="false">IF(SUMPRODUCT((tl_target=$C48)*(tl_sub=N$4)*(tl_align="Primary"))&gt;0,"P",IF(SUMPRODUCT((tl_target=$C48)*(tl_sub=N$4))&gt;0,"S",""))</f>
        <v/>
      </c>
      <c r="O48" s="53" t="str">
        <f aca="false">IF(SUMPRODUCT((tl_target=$C48)*(tl_sub=O$4)*(tl_align="Primary"))&gt;0,"P",IF(SUMPRODUCT((tl_target=$C48)*(tl_sub=O$4))&gt;0,"S",""))</f>
        <v/>
      </c>
      <c r="P48" s="53" t="str">
        <f aca="false">IF(SUMPRODUCT((tl_target=$C48)*(tl_sub=P$4)*(tl_align="Primary"))&gt;0,"P",IF(SUMPRODUCT((tl_target=$C48)*(tl_sub=P$4))&gt;0,"S",""))</f>
        <v/>
      </c>
      <c r="Q48" s="53" t="str">
        <f aca="false">IF(SUMPRODUCT((tl_target=$C48)*(tl_sub=Q$4)*(tl_align="Primary"))&gt;0,"P",IF(SUMPRODUCT((tl_target=$C48)*(tl_sub=Q$4))&gt;0,"S",""))</f>
        <v/>
      </c>
      <c r="R48" s="69" t="str">
        <f aca="false">_xlfn.TEXTJOIN(", ",TRUE(),IF(SUMPRODUCT((tl_target=$C48)*(tl_principle="PP1"))&gt;0,"PP1",""),IF(SUMPRODUCT((tl_target=$C48)*(tl_principle="PP2"))&gt;0,"PP2",""),IF(SUMPRODUCT((tl_target=$C48)*(tl_principle="PP3"))&gt;0,"PP3",""),IF(SUMPRODUCT((tl_target=$C48)*(tl_principle="PP4"))&gt;0,"PP4",""))</f>
        <v/>
      </c>
      <c r="S48" s="9" t="n">
        <f aca="false">SUMPRODUCT(--(tl_target=$C48))</f>
        <v>0</v>
      </c>
      <c r="T48" s="53" t="str">
        <f aca="false">IF(SUMPRODUCT((tl_target=$C48)*(tl_align="Primary"))&gt;0,"Primary link",IF(S48&gt;0,"Secondary only","Gap"))</f>
        <v>Gap</v>
      </c>
      <c r="U48" s="66"/>
      <c r="V48" s="66"/>
      <c r="W48" s="66"/>
      <c r="X48" s="66"/>
      <c r="Y48" s="66"/>
    </row>
    <row r="49" customFormat="false" ht="46.25" hidden="false" customHeight="false" outlineLevel="0" collapsed="false">
      <c r="A49" s="57" t="n">
        <v>5</v>
      </c>
      <c r="B49" s="5" t="s">
        <v>544</v>
      </c>
      <c r="C49" s="13" t="s">
        <v>688</v>
      </c>
      <c r="D49" s="5" t="s">
        <v>612</v>
      </c>
      <c r="E49" s="5"/>
      <c r="F49" s="5" t="s">
        <v>689</v>
      </c>
      <c r="G49" s="9" t="n">
        <v>2</v>
      </c>
      <c r="H49" s="53" t="str">
        <f aca="false">IF(SUMPRODUCT((tl_target=$C49)*(tl_sub=H$4)*(tl_align="Primary"))&gt;0,"P",IF(SUMPRODUCT((tl_target=$C49)*(tl_sub=H$4))&gt;0,"S",""))</f>
        <v/>
      </c>
      <c r="I49" s="53" t="str">
        <f aca="false">IF(SUMPRODUCT((tl_target=$C49)*(tl_sub=I$4)*(tl_align="Primary"))&gt;0,"P",IF(SUMPRODUCT((tl_target=$C49)*(tl_sub=I$4))&gt;0,"S",""))</f>
        <v/>
      </c>
      <c r="J49" s="53" t="str">
        <f aca="false">IF(SUMPRODUCT((tl_target=$C49)*(tl_sub=J$4)*(tl_align="Primary"))&gt;0,"P",IF(SUMPRODUCT((tl_target=$C49)*(tl_sub=J$4))&gt;0,"S",""))</f>
        <v/>
      </c>
      <c r="K49" s="53" t="str">
        <f aca="false">IF(SUMPRODUCT((tl_target=$C49)*(tl_sub=K$4)*(tl_align="Primary"))&gt;0,"P",IF(SUMPRODUCT((tl_target=$C49)*(tl_sub=K$4))&gt;0,"S",""))</f>
        <v/>
      </c>
      <c r="L49" s="53" t="str">
        <f aca="false">IF(SUMPRODUCT((tl_target=$C49)*(tl_sub=L$4)*(tl_align="Primary"))&gt;0,"P",IF(SUMPRODUCT((tl_target=$C49)*(tl_sub=L$4))&gt;0,"S",""))</f>
        <v/>
      </c>
      <c r="M49" s="53" t="str">
        <f aca="false">IF(SUMPRODUCT((tl_target=$C49)*(tl_sub=M$4)*(tl_align="Primary"))&gt;0,"P",IF(SUMPRODUCT((tl_target=$C49)*(tl_sub=M$4))&gt;0,"S",""))</f>
        <v/>
      </c>
      <c r="N49" s="53" t="str">
        <f aca="false">IF(SUMPRODUCT((tl_target=$C49)*(tl_sub=N$4)*(tl_align="Primary"))&gt;0,"P",IF(SUMPRODUCT((tl_target=$C49)*(tl_sub=N$4))&gt;0,"S",""))</f>
        <v/>
      </c>
      <c r="O49" s="53" t="str">
        <f aca="false">IF(SUMPRODUCT((tl_target=$C49)*(tl_sub=O$4)*(tl_align="Primary"))&gt;0,"P",IF(SUMPRODUCT((tl_target=$C49)*(tl_sub=O$4))&gt;0,"S",""))</f>
        <v/>
      </c>
      <c r="P49" s="53" t="str">
        <f aca="false">IF(SUMPRODUCT((tl_target=$C49)*(tl_sub=P$4)*(tl_align="Primary"))&gt;0,"P",IF(SUMPRODUCT((tl_target=$C49)*(tl_sub=P$4))&gt;0,"S",""))</f>
        <v/>
      </c>
      <c r="Q49" s="53" t="str">
        <f aca="false">IF(SUMPRODUCT((tl_target=$C49)*(tl_sub=Q$4)*(tl_align="Primary"))&gt;0,"P",IF(SUMPRODUCT((tl_target=$C49)*(tl_sub=Q$4))&gt;0,"S",""))</f>
        <v/>
      </c>
      <c r="R49" s="69" t="str">
        <f aca="false">_xlfn.TEXTJOIN(", ",TRUE(),IF(SUMPRODUCT((tl_target=$C49)*(tl_principle="PP1"))&gt;0,"PP1",""),IF(SUMPRODUCT((tl_target=$C49)*(tl_principle="PP2"))&gt;0,"PP2",""),IF(SUMPRODUCT((tl_target=$C49)*(tl_principle="PP3"))&gt;0,"PP3",""),IF(SUMPRODUCT((tl_target=$C49)*(tl_principle="PP4"))&gt;0,"PP4",""))</f>
        <v/>
      </c>
      <c r="S49" s="9" t="n">
        <f aca="false">SUMPRODUCT(--(tl_target=$C49))</f>
        <v>0</v>
      </c>
      <c r="T49" s="53" t="str">
        <f aca="false">IF(SUMPRODUCT((tl_target=$C49)*(tl_align="Primary"))&gt;0,"Primary link",IF(S49&gt;0,"Secondary only","Gap"))</f>
        <v>Gap</v>
      </c>
      <c r="U49" s="66"/>
      <c r="V49" s="66"/>
      <c r="W49" s="66"/>
      <c r="X49" s="66"/>
      <c r="Y49" s="66"/>
    </row>
    <row r="50" customFormat="false" ht="23.85" hidden="false" customHeight="false" outlineLevel="0" collapsed="false">
      <c r="A50" s="57" t="n">
        <v>5</v>
      </c>
      <c r="B50" s="5" t="s">
        <v>544</v>
      </c>
      <c r="C50" s="13" t="s">
        <v>690</v>
      </c>
      <c r="D50" s="5" t="s">
        <v>612</v>
      </c>
      <c r="E50" s="5"/>
      <c r="F50" s="5" t="s">
        <v>691</v>
      </c>
      <c r="G50" s="9" t="n">
        <v>1</v>
      </c>
      <c r="H50" s="53" t="str">
        <f aca="false">IF(SUMPRODUCT((tl_target=$C50)*(tl_sub=H$4)*(tl_align="Primary"))&gt;0,"P",IF(SUMPRODUCT((tl_target=$C50)*(tl_sub=H$4))&gt;0,"S",""))</f>
        <v/>
      </c>
      <c r="I50" s="53" t="str">
        <f aca="false">IF(SUMPRODUCT((tl_target=$C50)*(tl_sub=I$4)*(tl_align="Primary"))&gt;0,"P",IF(SUMPRODUCT((tl_target=$C50)*(tl_sub=I$4))&gt;0,"S",""))</f>
        <v/>
      </c>
      <c r="J50" s="53" t="str">
        <f aca="false">IF(SUMPRODUCT((tl_target=$C50)*(tl_sub=J$4)*(tl_align="Primary"))&gt;0,"P",IF(SUMPRODUCT((tl_target=$C50)*(tl_sub=J$4))&gt;0,"S",""))</f>
        <v/>
      </c>
      <c r="K50" s="53" t="str">
        <f aca="false">IF(SUMPRODUCT((tl_target=$C50)*(tl_sub=K$4)*(tl_align="Primary"))&gt;0,"P",IF(SUMPRODUCT((tl_target=$C50)*(tl_sub=K$4))&gt;0,"S",""))</f>
        <v/>
      </c>
      <c r="L50" s="53" t="str">
        <f aca="false">IF(SUMPRODUCT((tl_target=$C50)*(tl_sub=L$4)*(tl_align="Primary"))&gt;0,"P",IF(SUMPRODUCT((tl_target=$C50)*(tl_sub=L$4))&gt;0,"S",""))</f>
        <v/>
      </c>
      <c r="M50" s="53" t="str">
        <f aca="false">IF(SUMPRODUCT((tl_target=$C50)*(tl_sub=M$4)*(tl_align="Primary"))&gt;0,"P",IF(SUMPRODUCT((tl_target=$C50)*(tl_sub=M$4))&gt;0,"S",""))</f>
        <v/>
      </c>
      <c r="N50" s="53" t="str">
        <f aca="false">IF(SUMPRODUCT((tl_target=$C50)*(tl_sub=N$4)*(tl_align="Primary"))&gt;0,"P",IF(SUMPRODUCT((tl_target=$C50)*(tl_sub=N$4))&gt;0,"S",""))</f>
        <v/>
      </c>
      <c r="O50" s="53" t="str">
        <f aca="false">IF(SUMPRODUCT((tl_target=$C50)*(tl_sub=O$4)*(tl_align="Primary"))&gt;0,"P",IF(SUMPRODUCT((tl_target=$C50)*(tl_sub=O$4))&gt;0,"S",""))</f>
        <v/>
      </c>
      <c r="P50" s="53" t="str">
        <f aca="false">IF(SUMPRODUCT((tl_target=$C50)*(tl_sub=P$4)*(tl_align="Primary"))&gt;0,"P",IF(SUMPRODUCT((tl_target=$C50)*(tl_sub=P$4))&gt;0,"S",""))</f>
        <v/>
      </c>
      <c r="Q50" s="53" t="str">
        <f aca="false">IF(SUMPRODUCT((tl_target=$C50)*(tl_sub=Q$4)*(tl_align="Primary"))&gt;0,"P",IF(SUMPRODUCT((tl_target=$C50)*(tl_sub=Q$4))&gt;0,"S",""))</f>
        <v/>
      </c>
      <c r="R50" s="69" t="str">
        <f aca="false">_xlfn.TEXTJOIN(", ",TRUE(),IF(SUMPRODUCT((tl_target=$C50)*(tl_principle="PP1"))&gt;0,"PP1",""),IF(SUMPRODUCT((tl_target=$C50)*(tl_principle="PP2"))&gt;0,"PP2",""),IF(SUMPRODUCT((tl_target=$C50)*(tl_principle="PP3"))&gt;0,"PP3",""),IF(SUMPRODUCT((tl_target=$C50)*(tl_principle="PP4"))&gt;0,"PP4",""))</f>
        <v/>
      </c>
      <c r="S50" s="9" t="n">
        <f aca="false">SUMPRODUCT(--(tl_target=$C50))</f>
        <v>0</v>
      </c>
      <c r="T50" s="53" t="str">
        <f aca="false">IF(SUMPRODUCT((tl_target=$C50)*(tl_align="Primary"))&gt;0,"Primary link",IF(S50&gt;0,"Secondary only","Gap"))</f>
        <v>Gap</v>
      </c>
      <c r="U50" s="66"/>
      <c r="V50" s="66"/>
      <c r="W50" s="66"/>
      <c r="X50" s="66"/>
      <c r="Y50" s="66"/>
    </row>
    <row r="51" customFormat="false" ht="35.05" hidden="false" customHeight="false" outlineLevel="0" collapsed="false">
      <c r="A51" s="57" t="n">
        <v>5</v>
      </c>
      <c r="B51" s="5" t="s">
        <v>544</v>
      </c>
      <c r="C51" s="13" t="s">
        <v>692</v>
      </c>
      <c r="D51" s="5" t="s">
        <v>612</v>
      </c>
      <c r="E51" s="5"/>
      <c r="F51" s="5" t="s">
        <v>693</v>
      </c>
      <c r="G51" s="9" t="n">
        <v>1</v>
      </c>
      <c r="H51" s="53" t="str">
        <f aca="false">IF(SUMPRODUCT((tl_target=$C51)*(tl_sub=H$4)*(tl_align="Primary"))&gt;0,"P",IF(SUMPRODUCT((tl_target=$C51)*(tl_sub=H$4))&gt;0,"S",""))</f>
        <v/>
      </c>
      <c r="I51" s="53" t="str">
        <f aca="false">IF(SUMPRODUCT((tl_target=$C51)*(tl_sub=I$4)*(tl_align="Primary"))&gt;0,"P",IF(SUMPRODUCT((tl_target=$C51)*(tl_sub=I$4))&gt;0,"S",""))</f>
        <v/>
      </c>
      <c r="J51" s="53" t="str">
        <f aca="false">IF(SUMPRODUCT((tl_target=$C51)*(tl_sub=J$4)*(tl_align="Primary"))&gt;0,"P",IF(SUMPRODUCT((tl_target=$C51)*(tl_sub=J$4))&gt;0,"S",""))</f>
        <v/>
      </c>
      <c r="K51" s="53" t="str">
        <f aca="false">IF(SUMPRODUCT((tl_target=$C51)*(tl_sub=K$4)*(tl_align="Primary"))&gt;0,"P",IF(SUMPRODUCT((tl_target=$C51)*(tl_sub=K$4))&gt;0,"S",""))</f>
        <v/>
      </c>
      <c r="L51" s="53" t="str">
        <f aca="false">IF(SUMPRODUCT((tl_target=$C51)*(tl_sub=L$4)*(tl_align="Primary"))&gt;0,"P",IF(SUMPRODUCT((tl_target=$C51)*(tl_sub=L$4))&gt;0,"S",""))</f>
        <v/>
      </c>
      <c r="M51" s="53" t="str">
        <f aca="false">IF(SUMPRODUCT((tl_target=$C51)*(tl_sub=M$4)*(tl_align="Primary"))&gt;0,"P",IF(SUMPRODUCT((tl_target=$C51)*(tl_sub=M$4))&gt;0,"S",""))</f>
        <v/>
      </c>
      <c r="N51" s="53" t="str">
        <f aca="false">IF(SUMPRODUCT((tl_target=$C51)*(tl_sub=N$4)*(tl_align="Primary"))&gt;0,"P",IF(SUMPRODUCT((tl_target=$C51)*(tl_sub=N$4))&gt;0,"S",""))</f>
        <v/>
      </c>
      <c r="O51" s="53" t="str">
        <f aca="false">IF(SUMPRODUCT((tl_target=$C51)*(tl_sub=O$4)*(tl_align="Primary"))&gt;0,"P",IF(SUMPRODUCT((tl_target=$C51)*(tl_sub=O$4))&gt;0,"S",""))</f>
        <v/>
      </c>
      <c r="P51" s="53" t="str">
        <f aca="false">IF(SUMPRODUCT((tl_target=$C51)*(tl_sub=P$4)*(tl_align="Primary"))&gt;0,"P",IF(SUMPRODUCT((tl_target=$C51)*(tl_sub=P$4))&gt;0,"S",""))</f>
        <v/>
      </c>
      <c r="Q51" s="53" t="str">
        <f aca="false">IF(SUMPRODUCT((tl_target=$C51)*(tl_sub=Q$4)*(tl_align="Primary"))&gt;0,"P",IF(SUMPRODUCT((tl_target=$C51)*(tl_sub=Q$4))&gt;0,"S",""))</f>
        <v/>
      </c>
      <c r="R51" s="69" t="str">
        <f aca="false">_xlfn.TEXTJOIN(", ",TRUE(),IF(SUMPRODUCT((tl_target=$C51)*(tl_principle="PP1"))&gt;0,"PP1",""),IF(SUMPRODUCT((tl_target=$C51)*(tl_principle="PP2"))&gt;0,"PP2",""),IF(SUMPRODUCT((tl_target=$C51)*(tl_principle="PP3"))&gt;0,"PP3",""),IF(SUMPRODUCT((tl_target=$C51)*(tl_principle="PP4"))&gt;0,"PP4",""))</f>
        <v/>
      </c>
      <c r="S51" s="9" t="n">
        <f aca="false">SUMPRODUCT(--(tl_target=$C51))</f>
        <v>0</v>
      </c>
      <c r="T51" s="53" t="str">
        <f aca="false">IF(SUMPRODUCT((tl_target=$C51)*(tl_align="Primary"))&gt;0,"Primary link",IF(S51&gt;0,"Secondary only","Gap"))</f>
        <v>Gap</v>
      </c>
      <c r="U51" s="66"/>
      <c r="V51" s="66"/>
      <c r="W51" s="66"/>
      <c r="X51" s="66"/>
      <c r="Y51" s="66"/>
    </row>
    <row r="52" customFormat="false" ht="23.85" hidden="false" customHeight="false" outlineLevel="0" collapsed="false">
      <c r="A52" s="21" t="n">
        <v>6</v>
      </c>
      <c r="B52" s="5" t="s">
        <v>219</v>
      </c>
      <c r="C52" s="13" t="s">
        <v>694</v>
      </c>
      <c r="D52" s="5" t="s">
        <v>499</v>
      </c>
      <c r="E52" s="5"/>
      <c r="F52" s="5" t="s">
        <v>695</v>
      </c>
      <c r="G52" s="9" t="n">
        <v>1</v>
      </c>
      <c r="H52" s="53" t="str">
        <f aca="false">IF(SUMPRODUCT((tl_target=$C52)*(tl_sub=H$4)*(tl_align="Primary"))&gt;0,"P",IF(SUMPRODUCT((tl_target=$C52)*(tl_sub=H$4))&gt;0,"S",""))</f>
        <v/>
      </c>
      <c r="I52" s="53" t="str">
        <f aca="false">IF(SUMPRODUCT((tl_target=$C52)*(tl_sub=I$4)*(tl_align="Primary"))&gt;0,"P",IF(SUMPRODUCT((tl_target=$C52)*(tl_sub=I$4))&gt;0,"S",""))</f>
        <v/>
      </c>
      <c r="J52" s="53" t="str">
        <f aca="false">IF(SUMPRODUCT((tl_target=$C52)*(tl_sub=J$4)*(tl_align="Primary"))&gt;0,"P",IF(SUMPRODUCT((tl_target=$C52)*(tl_sub=J$4))&gt;0,"S",""))</f>
        <v/>
      </c>
      <c r="K52" s="53" t="str">
        <f aca="false">IF(SUMPRODUCT((tl_target=$C52)*(tl_sub=K$4)*(tl_align="Primary"))&gt;0,"P",IF(SUMPRODUCT((tl_target=$C52)*(tl_sub=K$4))&gt;0,"S",""))</f>
        <v/>
      </c>
      <c r="L52" s="53" t="str">
        <f aca="false">IF(SUMPRODUCT((tl_target=$C52)*(tl_sub=L$4)*(tl_align="Primary"))&gt;0,"P",IF(SUMPRODUCT((tl_target=$C52)*(tl_sub=L$4))&gt;0,"S",""))</f>
        <v/>
      </c>
      <c r="M52" s="53" t="str">
        <f aca="false">IF(SUMPRODUCT((tl_target=$C52)*(tl_sub=M$4)*(tl_align="Primary"))&gt;0,"P",IF(SUMPRODUCT((tl_target=$C52)*(tl_sub=M$4))&gt;0,"S",""))</f>
        <v/>
      </c>
      <c r="N52" s="53" t="str">
        <f aca="false">IF(SUMPRODUCT((tl_target=$C52)*(tl_sub=N$4)*(tl_align="Primary"))&gt;0,"P",IF(SUMPRODUCT((tl_target=$C52)*(tl_sub=N$4))&gt;0,"S",""))</f>
        <v/>
      </c>
      <c r="O52" s="53" t="str">
        <f aca="false">IF(SUMPRODUCT((tl_target=$C52)*(tl_sub=O$4)*(tl_align="Primary"))&gt;0,"P",IF(SUMPRODUCT((tl_target=$C52)*(tl_sub=O$4))&gt;0,"S",""))</f>
        <v/>
      </c>
      <c r="P52" s="53" t="str">
        <f aca="false">IF(SUMPRODUCT((tl_target=$C52)*(tl_sub=P$4)*(tl_align="Primary"))&gt;0,"P",IF(SUMPRODUCT((tl_target=$C52)*(tl_sub=P$4))&gt;0,"S",""))</f>
        <v/>
      </c>
      <c r="Q52" s="53" t="str">
        <f aca="false">IF(SUMPRODUCT((tl_target=$C52)*(tl_sub=Q$4)*(tl_align="Primary"))&gt;0,"P",IF(SUMPRODUCT((tl_target=$C52)*(tl_sub=Q$4))&gt;0,"S",""))</f>
        <v/>
      </c>
      <c r="R52" s="69" t="str">
        <f aca="false">_xlfn.TEXTJOIN(", ",TRUE(),IF(SUMPRODUCT((tl_target=$C52)*(tl_principle="PP1"))&gt;0,"PP1",""),IF(SUMPRODUCT((tl_target=$C52)*(tl_principle="PP2"))&gt;0,"PP2",""),IF(SUMPRODUCT((tl_target=$C52)*(tl_principle="PP3"))&gt;0,"PP3",""),IF(SUMPRODUCT((tl_target=$C52)*(tl_principle="PP4"))&gt;0,"PP4",""))</f>
        <v/>
      </c>
      <c r="S52" s="9" t="n">
        <f aca="false">SUMPRODUCT(--(tl_target=$C52))</f>
        <v>0</v>
      </c>
      <c r="T52" s="53" t="str">
        <f aca="false">IF(SUMPRODUCT((tl_target=$C52)*(tl_align="Primary"))&gt;0,"Primary link",IF(S52&gt;0,"Secondary only","Gap"))</f>
        <v>Gap</v>
      </c>
      <c r="U52" s="66"/>
      <c r="V52" s="66"/>
      <c r="W52" s="66"/>
      <c r="X52" s="66"/>
      <c r="Y52" s="66"/>
    </row>
    <row r="53" customFormat="false" ht="35.05" hidden="false" customHeight="false" outlineLevel="0" collapsed="false">
      <c r="A53" s="21" t="n">
        <v>6</v>
      </c>
      <c r="B53" s="5" t="s">
        <v>219</v>
      </c>
      <c r="C53" s="13" t="s">
        <v>696</v>
      </c>
      <c r="D53" s="5" t="s">
        <v>499</v>
      </c>
      <c r="E53" s="5"/>
      <c r="F53" s="5" t="s">
        <v>697</v>
      </c>
      <c r="G53" s="9" t="n">
        <v>1</v>
      </c>
      <c r="H53" s="53" t="str">
        <f aca="false">IF(SUMPRODUCT((tl_target=$C53)*(tl_sub=H$4)*(tl_align="Primary"))&gt;0,"P",IF(SUMPRODUCT((tl_target=$C53)*(tl_sub=H$4))&gt;0,"S",""))</f>
        <v/>
      </c>
      <c r="I53" s="53" t="str">
        <f aca="false">IF(SUMPRODUCT((tl_target=$C53)*(tl_sub=I$4)*(tl_align="Primary"))&gt;0,"P",IF(SUMPRODUCT((tl_target=$C53)*(tl_sub=I$4))&gt;0,"S",""))</f>
        <v/>
      </c>
      <c r="J53" s="53" t="str">
        <f aca="false">IF(SUMPRODUCT((tl_target=$C53)*(tl_sub=J$4)*(tl_align="Primary"))&gt;0,"P",IF(SUMPRODUCT((tl_target=$C53)*(tl_sub=J$4))&gt;0,"S",""))</f>
        <v/>
      </c>
      <c r="K53" s="53" t="str">
        <f aca="false">IF(SUMPRODUCT((tl_target=$C53)*(tl_sub=K$4)*(tl_align="Primary"))&gt;0,"P",IF(SUMPRODUCT((tl_target=$C53)*(tl_sub=K$4))&gt;0,"S",""))</f>
        <v/>
      </c>
      <c r="L53" s="53" t="str">
        <f aca="false">IF(SUMPRODUCT((tl_target=$C53)*(tl_sub=L$4)*(tl_align="Primary"))&gt;0,"P",IF(SUMPRODUCT((tl_target=$C53)*(tl_sub=L$4))&gt;0,"S",""))</f>
        <v/>
      </c>
      <c r="M53" s="53" t="str">
        <f aca="false">IF(SUMPRODUCT((tl_target=$C53)*(tl_sub=M$4)*(tl_align="Primary"))&gt;0,"P",IF(SUMPRODUCT((tl_target=$C53)*(tl_sub=M$4))&gt;0,"S",""))</f>
        <v/>
      </c>
      <c r="N53" s="53" t="str">
        <f aca="false">IF(SUMPRODUCT((tl_target=$C53)*(tl_sub=N$4)*(tl_align="Primary"))&gt;0,"P",IF(SUMPRODUCT((tl_target=$C53)*(tl_sub=N$4))&gt;0,"S",""))</f>
        <v/>
      </c>
      <c r="O53" s="53" t="str">
        <f aca="false">IF(SUMPRODUCT((tl_target=$C53)*(tl_sub=O$4)*(tl_align="Primary"))&gt;0,"P",IF(SUMPRODUCT((tl_target=$C53)*(tl_sub=O$4))&gt;0,"S",""))</f>
        <v/>
      </c>
      <c r="P53" s="53" t="str">
        <f aca="false">IF(SUMPRODUCT((tl_target=$C53)*(tl_sub=P$4)*(tl_align="Primary"))&gt;0,"P",IF(SUMPRODUCT((tl_target=$C53)*(tl_sub=P$4))&gt;0,"S",""))</f>
        <v/>
      </c>
      <c r="Q53" s="53" t="str">
        <f aca="false">IF(SUMPRODUCT((tl_target=$C53)*(tl_sub=Q$4)*(tl_align="Primary"))&gt;0,"P",IF(SUMPRODUCT((tl_target=$C53)*(tl_sub=Q$4))&gt;0,"S",""))</f>
        <v/>
      </c>
      <c r="R53" s="69" t="str">
        <f aca="false">_xlfn.TEXTJOIN(", ",TRUE(),IF(SUMPRODUCT((tl_target=$C53)*(tl_principle="PP1"))&gt;0,"PP1",""),IF(SUMPRODUCT((tl_target=$C53)*(tl_principle="PP2"))&gt;0,"PP2",""),IF(SUMPRODUCT((tl_target=$C53)*(tl_principle="PP3"))&gt;0,"PP3",""),IF(SUMPRODUCT((tl_target=$C53)*(tl_principle="PP4"))&gt;0,"PP4",""))</f>
        <v/>
      </c>
      <c r="S53" s="9" t="n">
        <f aca="false">SUMPRODUCT(--(tl_target=$C53))</f>
        <v>0</v>
      </c>
      <c r="T53" s="53" t="str">
        <f aca="false">IF(SUMPRODUCT((tl_target=$C53)*(tl_align="Primary"))&gt;0,"Primary link",IF(S53&gt;0,"Secondary only","Gap"))</f>
        <v>Gap</v>
      </c>
      <c r="U53" s="66"/>
      <c r="V53" s="66"/>
      <c r="W53" s="66"/>
      <c r="X53" s="66"/>
      <c r="Y53" s="66"/>
    </row>
    <row r="54" customFormat="false" ht="46.25" hidden="false" customHeight="false" outlineLevel="0" collapsed="false">
      <c r="A54" s="21" t="n">
        <v>6</v>
      </c>
      <c r="B54" s="5" t="s">
        <v>219</v>
      </c>
      <c r="C54" s="13" t="s">
        <v>698</v>
      </c>
      <c r="D54" s="5" t="s">
        <v>499</v>
      </c>
      <c r="E54" s="5"/>
      <c r="F54" s="5" t="s">
        <v>699</v>
      </c>
      <c r="G54" s="9" t="n">
        <v>2</v>
      </c>
      <c r="H54" s="53" t="str">
        <f aca="false">IF(SUMPRODUCT((tl_target=$C54)*(tl_sub=H$4)*(tl_align="Primary"))&gt;0,"P",IF(SUMPRODUCT((tl_target=$C54)*(tl_sub=H$4))&gt;0,"S",""))</f>
        <v/>
      </c>
      <c r="I54" s="53" t="str">
        <f aca="false">IF(SUMPRODUCT((tl_target=$C54)*(tl_sub=I$4)*(tl_align="Primary"))&gt;0,"P",IF(SUMPRODUCT((tl_target=$C54)*(tl_sub=I$4))&gt;0,"S",""))</f>
        <v/>
      </c>
      <c r="J54" s="53" t="str">
        <f aca="false">IF(SUMPRODUCT((tl_target=$C54)*(tl_sub=J$4)*(tl_align="Primary"))&gt;0,"P",IF(SUMPRODUCT((tl_target=$C54)*(tl_sub=J$4))&gt;0,"S",""))</f>
        <v/>
      </c>
      <c r="K54" s="53" t="str">
        <f aca="false">IF(SUMPRODUCT((tl_target=$C54)*(tl_sub=K$4)*(tl_align="Primary"))&gt;0,"P",IF(SUMPRODUCT((tl_target=$C54)*(tl_sub=K$4))&gt;0,"S",""))</f>
        <v/>
      </c>
      <c r="L54" s="53" t="str">
        <f aca="false">IF(SUMPRODUCT((tl_target=$C54)*(tl_sub=L$4)*(tl_align="Primary"))&gt;0,"P",IF(SUMPRODUCT((tl_target=$C54)*(tl_sub=L$4))&gt;0,"S",""))</f>
        <v/>
      </c>
      <c r="M54" s="53" t="str">
        <f aca="false">IF(SUMPRODUCT((tl_target=$C54)*(tl_sub=M$4)*(tl_align="Primary"))&gt;0,"P",IF(SUMPRODUCT((tl_target=$C54)*(tl_sub=M$4))&gt;0,"S",""))</f>
        <v/>
      </c>
      <c r="N54" s="53" t="str">
        <f aca="false">IF(SUMPRODUCT((tl_target=$C54)*(tl_sub=N$4)*(tl_align="Primary"))&gt;0,"P",IF(SUMPRODUCT((tl_target=$C54)*(tl_sub=N$4))&gt;0,"S",""))</f>
        <v/>
      </c>
      <c r="O54" s="53" t="str">
        <f aca="false">IF(SUMPRODUCT((tl_target=$C54)*(tl_sub=O$4)*(tl_align="Primary"))&gt;0,"P",IF(SUMPRODUCT((tl_target=$C54)*(tl_sub=O$4))&gt;0,"S",""))</f>
        <v/>
      </c>
      <c r="P54" s="53" t="str">
        <f aca="false">IF(SUMPRODUCT((tl_target=$C54)*(tl_sub=P$4)*(tl_align="Primary"))&gt;0,"P",IF(SUMPRODUCT((tl_target=$C54)*(tl_sub=P$4))&gt;0,"S",""))</f>
        <v/>
      </c>
      <c r="Q54" s="53" t="str">
        <f aca="false">IF(SUMPRODUCT((tl_target=$C54)*(tl_sub=Q$4)*(tl_align="Primary"))&gt;0,"P",IF(SUMPRODUCT((tl_target=$C54)*(tl_sub=Q$4))&gt;0,"S",""))</f>
        <v/>
      </c>
      <c r="R54" s="69" t="str">
        <f aca="false">_xlfn.TEXTJOIN(", ",TRUE(),IF(SUMPRODUCT((tl_target=$C54)*(tl_principle="PP1"))&gt;0,"PP1",""),IF(SUMPRODUCT((tl_target=$C54)*(tl_principle="PP2"))&gt;0,"PP2",""),IF(SUMPRODUCT((tl_target=$C54)*(tl_principle="PP3"))&gt;0,"PP3",""),IF(SUMPRODUCT((tl_target=$C54)*(tl_principle="PP4"))&gt;0,"PP4",""))</f>
        <v/>
      </c>
      <c r="S54" s="9" t="n">
        <f aca="false">SUMPRODUCT(--(tl_target=$C54))</f>
        <v>0</v>
      </c>
      <c r="T54" s="53" t="str">
        <f aca="false">IF(SUMPRODUCT((tl_target=$C54)*(tl_align="Primary"))&gt;0,"Primary link",IF(S54&gt;0,"Secondary only","Gap"))</f>
        <v>Gap</v>
      </c>
      <c r="U54" s="66"/>
      <c r="V54" s="66"/>
      <c r="W54" s="66"/>
      <c r="X54" s="66"/>
      <c r="Y54" s="66"/>
    </row>
    <row r="55" customFormat="false" ht="46.25" hidden="false" customHeight="false" outlineLevel="0" collapsed="false">
      <c r="A55" s="21" t="n">
        <v>6</v>
      </c>
      <c r="B55" s="5" t="s">
        <v>219</v>
      </c>
      <c r="C55" s="13" t="s">
        <v>220</v>
      </c>
      <c r="D55" s="5" t="s">
        <v>499</v>
      </c>
      <c r="E55" s="5" t="s">
        <v>221</v>
      </c>
      <c r="F55" s="5" t="s">
        <v>222</v>
      </c>
      <c r="G55" s="9" t="n">
        <v>2</v>
      </c>
      <c r="H55" s="53" t="str">
        <f aca="false">IF(SUMPRODUCT((tl_target=$C55)*(tl_sub=H$4)*(tl_align="Primary"))&gt;0,"P",IF(SUMPRODUCT((tl_target=$C55)*(tl_sub=H$4))&gt;0,"S",""))</f>
        <v/>
      </c>
      <c r="I55" s="53" t="str">
        <f aca="false">IF(SUMPRODUCT((tl_target=$C55)*(tl_sub=I$4)*(tl_align="Primary"))&gt;0,"P",IF(SUMPRODUCT((tl_target=$C55)*(tl_sub=I$4))&gt;0,"S",""))</f>
        <v/>
      </c>
      <c r="J55" s="53" t="str">
        <f aca="false">IF(SUMPRODUCT((tl_target=$C55)*(tl_sub=J$4)*(tl_align="Primary"))&gt;0,"P",IF(SUMPRODUCT((tl_target=$C55)*(tl_sub=J$4))&gt;0,"S",""))</f>
        <v>S</v>
      </c>
      <c r="K55" s="53" t="str">
        <f aca="false">IF(SUMPRODUCT((tl_target=$C55)*(tl_sub=K$4)*(tl_align="Primary"))&gt;0,"P",IF(SUMPRODUCT((tl_target=$C55)*(tl_sub=K$4))&gt;0,"S",""))</f>
        <v/>
      </c>
      <c r="L55" s="53" t="str">
        <f aca="false">IF(SUMPRODUCT((tl_target=$C55)*(tl_sub=L$4)*(tl_align="Primary"))&gt;0,"P",IF(SUMPRODUCT((tl_target=$C55)*(tl_sub=L$4))&gt;0,"S",""))</f>
        <v/>
      </c>
      <c r="M55" s="53" t="str">
        <f aca="false">IF(SUMPRODUCT((tl_target=$C55)*(tl_sub=M$4)*(tl_align="Primary"))&gt;0,"P",IF(SUMPRODUCT((tl_target=$C55)*(tl_sub=M$4))&gt;0,"S",""))</f>
        <v/>
      </c>
      <c r="N55" s="53" t="str">
        <f aca="false">IF(SUMPRODUCT((tl_target=$C55)*(tl_sub=N$4)*(tl_align="Primary"))&gt;0,"P",IF(SUMPRODUCT((tl_target=$C55)*(tl_sub=N$4))&gt;0,"S",""))</f>
        <v/>
      </c>
      <c r="O55" s="53" t="str">
        <f aca="false">IF(SUMPRODUCT((tl_target=$C55)*(tl_sub=O$4)*(tl_align="Primary"))&gt;0,"P",IF(SUMPRODUCT((tl_target=$C55)*(tl_sub=O$4))&gt;0,"S",""))</f>
        <v/>
      </c>
      <c r="P55" s="53" t="str">
        <f aca="false">IF(SUMPRODUCT((tl_target=$C55)*(tl_sub=P$4)*(tl_align="Primary"))&gt;0,"P",IF(SUMPRODUCT((tl_target=$C55)*(tl_sub=P$4))&gt;0,"S",""))</f>
        <v/>
      </c>
      <c r="Q55" s="53" t="str">
        <f aca="false">IF(SUMPRODUCT((tl_target=$C55)*(tl_sub=Q$4)*(tl_align="Primary"))&gt;0,"P",IF(SUMPRODUCT((tl_target=$C55)*(tl_sub=Q$4))&gt;0,"S",""))</f>
        <v/>
      </c>
      <c r="R55" s="69" t="str">
        <f aca="false">_xlfn.TEXTJOIN(", ",TRUE(),IF(SUMPRODUCT((tl_target=$C55)*(tl_principle="PP1"))&gt;0,"PP1",""),IF(SUMPRODUCT((tl_target=$C55)*(tl_principle="PP2"))&gt;0,"PP2",""),IF(SUMPRODUCT((tl_target=$C55)*(tl_principle="PP3"))&gt;0,"PP3",""),IF(SUMPRODUCT((tl_target=$C55)*(tl_principle="PP4"))&gt;0,"PP4",""))</f>
        <v>PP2</v>
      </c>
      <c r="S55" s="9" t="n">
        <f aca="false">SUMPRODUCT(--(tl_target=$C55))</f>
        <v>1</v>
      </c>
      <c r="T55" s="53" t="str">
        <f aca="false">IF(SUMPRODUCT((tl_target=$C55)*(tl_align="Primary"))&gt;0,"Primary link",IF(S55&gt;0,"Secondary only","Gap"))</f>
        <v>Secondary only</v>
      </c>
      <c r="U55" s="66"/>
      <c r="V55" s="66"/>
      <c r="W55" s="66"/>
      <c r="X55" s="66"/>
      <c r="Y55" s="66"/>
    </row>
    <row r="56" customFormat="false" ht="23.85" hidden="false" customHeight="false" outlineLevel="0" collapsed="false">
      <c r="A56" s="21" t="n">
        <v>6</v>
      </c>
      <c r="B56" s="5" t="s">
        <v>219</v>
      </c>
      <c r="C56" s="13" t="s">
        <v>225</v>
      </c>
      <c r="D56" s="5" t="s">
        <v>499</v>
      </c>
      <c r="E56" s="5" t="s">
        <v>226</v>
      </c>
      <c r="F56" s="5" t="s">
        <v>227</v>
      </c>
      <c r="G56" s="9" t="n">
        <v>2</v>
      </c>
      <c r="H56" s="53" t="str">
        <f aca="false">IF(SUMPRODUCT((tl_target=$C56)*(tl_sub=H$4)*(tl_align="Primary"))&gt;0,"P",IF(SUMPRODUCT((tl_target=$C56)*(tl_sub=H$4))&gt;0,"S",""))</f>
        <v/>
      </c>
      <c r="I56" s="53" t="str">
        <f aca="false">IF(SUMPRODUCT((tl_target=$C56)*(tl_sub=I$4)*(tl_align="Primary"))&gt;0,"P",IF(SUMPRODUCT((tl_target=$C56)*(tl_sub=I$4))&gt;0,"S",""))</f>
        <v/>
      </c>
      <c r="J56" s="53" t="str">
        <f aca="false">IF(SUMPRODUCT((tl_target=$C56)*(tl_sub=J$4)*(tl_align="Primary"))&gt;0,"P",IF(SUMPRODUCT((tl_target=$C56)*(tl_sub=J$4))&gt;0,"S",""))</f>
        <v>S</v>
      </c>
      <c r="K56" s="53" t="str">
        <f aca="false">IF(SUMPRODUCT((tl_target=$C56)*(tl_sub=K$4)*(tl_align="Primary"))&gt;0,"P",IF(SUMPRODUCT((tl_target=$C56)*(tl_sub=K$4))&gt;0,"S",""))</f>
        <v/>
      </c>
      <c r="L56" s="53" t="str">
        <f aca="false">IF(SUMPRODUCT((tl_target=$C56)*(tl_sub=L$4)*(tl_align="Primary"))&gt;0,"P",IF(SUMPRODUCT((tl_target=$C56)*(tl_sub=L$4))&gt;0,"S",""))</f>
        <v/>
      </c>
      <c r="M56" s="53" t="str">
        <f aca="false">IF(SUMPRODUCT((tl_target=$C56)*(tl_sub=M$4)*(tl_align="Primary"))&gt;0,"P",IF(SUMPRODUCT((tl_target=$C56)*(tl_sub=M$4))&gt;0,"S",""))</f>
        <v/>
      </c>
      <c r="N56" s="53" t="str">
        <f aca="false">IF(SUMPRODUCT((tl_target=$C56)*(tl_sub=N$4)*(tl_align="Primary"))&gt;0,"P",IF(SUMPRODUCT((tl_target=$C56)*(tl_sub=N$4))&gt;0,"S",""))</f>
        <v/>
      </c>
      <c r="O56" s="53" t="str">
        <f aca="false">IF(SUMPRODUCT((tl_target=$C56)*(tl_sub=O$4)*(tl_align="Primary"))&gt;0,"P",IF(SUMPRODUCT((tl_target=$C56)*(tl_sub=O$4))&gt;0,"S",""))</f>
        <v/>
      </c>
      <c r="P56" s="53" t="str">
        <f aca="false">IF(SUMPRODUCT((tl_target=$C56)*(tl_sub=P$4)*(tl_align="Primary"))&gt;0,"P",IF(SUMPRODUCT((tl_target=$C56)*(tl_sub=P$4))&gt;0,"S",""))</f>
        <v/>
      </c>
      <c r="Q56" s="53" t="str">
        <f aca="false">IF(SUMPRODUCT((tl_target=$C56)*(tl_sub=Q$4)*(tl_align="Primary"))&gt;0,"P",IF(SUMPRODUCT((tl_target=$C56)*(tl_sub=Q$4))&gt;0,"S",""))</f>
        <v/>
      </c>
      <c r="R56" s="69" t="str">
        <f aca="false">_xlfn.TEXTJOIN(", ",TRUE(),IF(SUMPRODUCT((tl_target=$C56)*(tl_principle="PP1"))&gt;0,"PP1",""),IF(SUMPRODUCT((tl_target=$C56)*(tl_principle="PP2"))&gt;0,"PP2",""),IF(SUMPRODUCT((tl_target=$C56)*(tl_principle="PP3"))&gt;0,"PP3",""),IF(SUMPRODUCT((tl_target=$C56)*(tl_principle="PP4"))&gt;0,"PP4",""))</f>
        <v>PP2</v>
      </c>
      <c r="S56" s="9" t="n">
        <f aca="false">SUMPRODUCT(--(tl_target=$C56))</f>
        <v>1</v>
      </c>
      <c r="T56" s="53" t="str">
        <f aca="false">IF(SUMPRODUCT((tl_target=$C56)*(tl_align="Primary"))&gt;0,"Primary link",IF(S56&gt;0,"Secondary only","Gap"))</f>
        <v>Secondary only</v>
      </c>
      <c r="U56" s="66"/>
      <c r="V56" s="66"/>
      <c r="W56" s="66"/>
      <c r="X56" s="66"/>
      <c r="Y56" s="66"/>
    </row>
    <row r="57" customFormat="false" ht="23.85" hidden="false" customHeight="false" outlineLevel="0" collapsed="false">
      <c r="A57" s="21" t="n">
        <v>6</v>
      </c>
      <c r="B57" s="5" t="s">
        <v>219</v>
      </c>
      <c r="C57" s="13" t="s">
        <v>700</v>
      </c>
      <c r="D57" s="5" t="s">
        <v>499</v>
      </c>
      <c r="E57" s="5"/>
      <c r="F57" s="5" t="s">
        <v>701</v>
      </c>
      <c r="G57" s="9" t="n">
        <v>1</v>
      </c>
      <c r="H57" s="53" t="str">
        <f aca="false">IF(SUMPRODUCT((tl_target=$C57)*(tl_sub=H$4)*(tl_align="Primary"))&gt;0,"P",IF(SUMPRODUCT((tl_target=$C57)*(tl_sub=H$4))&gt;0,"S",""))</f>
        <v/>
      </c>
      <c r="I57" s="53" t="str">
        <f aca="false">IF(SUMPRODUCT((tl_target=$C57)*(tl_sub=I$4)*(tl_align="Primary"))&gt;0,"P",IF(SUMPRODUCT((tl_target=$C57)*(tl_sub=I$4))&gt;0,"S",""))</f>
        <v/>
      </c>
      <c r="J57" s="53" t="str">
        <f aca="false">IF(SUMPRODUCT((tl_target=$C57)*(tl_sub=J$4)*(tl_align="Primary"))&gt;0,"P",IF(SUMPRODUCT((tl_target=$C57)*(tl_sub=J$4))&gt;0,"S",""))</f>
        <v/>
      </c>
      <c r="K57" s="53" t="str">
        <f aca="false">IF(SUMPRODUCT((tl_target=$C57)*(tl_sub=K$4)*(tl_align="Primary"))&gt;0,"P",IF(SUMPRODUCT((tl_target=$C57)*(tl_sub=K$4))&gt;0,"S",""))</f>
        <v/>
      </c>
      <c r="L57" s="53" t="str">
        <f aca="false">IF(SUMPRODUCT((tl_target=$C57)*(tl_sub=L$4)*(tl_align="Primary"))&gt;0,"P",IF(SUMPRODUCT((tl_target=$C57)*(tl_sub=L$4))&gt;0,"S",""))</f>
        <v/>
      </c>
      <c r="M57" s="53" t="str">
        <f aca="false">IF(SUMPRODUCT((tl_target=$C57)*(tl_sub=M$4)*(tl_align="Primary"))&gt;0,"P",IF(SUMPRODUCT((tl_target=$C57)*(tl_sub=M$4))&gt;0,"S",""))</f>
        <v/>
      </c>
      <c r="N57" s="53" t="str">
        <f aca="false">IF(SUMPRODUCT((tl_target=$C57)*(tl_sub=N$4)*(tl_align="Primary"))&gt;0,"P",IF(SUMPRODUCT((tl_target=$C57)*(tl_sub=N$4))&gt;0,"S",""))</f>
        <v/>
      </c>
      <c r="O57" s="53" t="str">
        <f aca="false">IF(SUMPRODUCT((tl_target=$C57)*(tl_sub=O$4)*(tl_align="Primary"))&gt;0,"P",IF(SUMPRODUCT((tl_target=$C57)*(tl_sub=O$4))&gt;0,"S",""))</f>
        <v/>
      </c>
      <c r="P57" s="53" t="str">
        <f aca="false">IF(SUMPRODUCT((tl_target=$C57)*(tl_sub=P$4)*(tl_align="Primary"))&gt;0,"P",IF(SUMPRODUCT((tl_target=$C57)*(tl_sub=P$4))&gt;0,"S",""))</f>
        <v/>
      </c>
      <c r="Q57" s="53" t="str">
        <f aca="false">IF(SUMPRODUCT((tl_target=$C57)*(tl_sub=Q$4)*(tl_align="Primary"))&gt;0,"P",IF(SUMPRODUCT((tl_target=$C57)*(tl_sub=Q$4))&gt;0,"S",""))</f>
        <v/>
      </c>
      <c r="R57" s="69" t="str">
        <f aca="false">_xlfn.TEXTJOIN(", ",TRUE(),IF(SUMPRODUCT((tl_target=$C57)*(tl_principle="PP1"))&gt;0,"PP1",""),IF(SUMPRODUCT((tl_target=$C57)*(tl_principle="PP2"))&gt;0,"PP2",""),IF(SUMPRODUCT((tl_target=$C57)*(tl_principle="PP3"))&gt;0,"PP3",""),IF(SUMPRODUCT((tl_target=$C57)*(tl_principle="PP4"))&gt;0,"PP4",""))</f>
        <v/>
      </c>
      <c r="S57" s="9" t="n">
        <f aca="false">SUMPRODUCT(--(tl_target=$C57))</f>
        <v>0</v>
      </c>
      <c r="T57" s="53" t="str">
        <f aca="false">IF(SUMPRODUCT((tl_target=$C57)*(tl_align="Primary"))&gt;0,"Primary link",IF(S57&gt;0,"Secondary only","Gap"))</f>
        <v>Gap</v>
      </c>
      <c r="U57" s="66"/>
      <c r="V57" s="66"/>
      <c r="W57" s="66"/>
      <c r="X57" s="66"/>
      <c r="Y57" s="66"/>
    </row>
    <row r="58" customFormat="false" ht="46.25" hidden="false" customHeight="false" outlineLevel="0" collapsed="false">
      <c r="A58" s="21" t="n">
        <v>6</v>
      </c>
      <c r="B58" s="5" t="s">
        <v>219</v>
      </c>
      <c r="C58" s="13" t="s">
        <v>702</v>
      </c>
      <c r="D58" s="5" t="s">
        <v>612</v>
      </c>
      <c r="E58" s="5"/>
      <c r="F58" s="5" t="s">
        <v>703</v>
      </c>
      <c r="G58" s="9" t="n">
        <v>1</v>
      </c>
      <c r="H58" s="53" t="str">
        <f aca="false">IF(SUMPRODUCT((tl_target=$C58)*(tl_sub=H$4)*(tl_align="Primary"))&gt;0,"P",IF(SUMPRODUCT((tl_target=$C58)*(tl_sub=H$4))&gt;0,"S",""))</f>
        <v/>
      </c>
      <c r="I58" s="53" t="str">
        <f aca="false">IF(SUMPRODUCT((tl_target=$C58)*(tl_sub=I$4)*(tl_align="Primary"))&gt;0,"P",IF(SUMPRODUCT((tl_target=$C58)*(tl_sub=I$4))&gt;0,"S",""))</f>
        <v/>
      </c>
      <c r="J58" s="53" t="str">
        <f aca="false">IF(SUMPRODUCT((tl_target=$C58)*(tl_sub=J$4)*(tl_align="Primary"))&gt;0,"P",IF(SUMPRODUCT((tl_target=$C58)*(tl_sub=J$4))&gt;0,"S",""))</f>
        <v/>
      </c>
      <c r="K58" s="53" t="str">
        <f aca="false">IF(SUMPRODUCT((tl_target=$C58)*(tl_sub=K$4)*(tl_align="Primary"))&gt;0,"P",IF(SUMPRODUCT((tl_target=$C58)*(tl_sub=K$4))&gt;0,"S",""))</f>
        <v/>
      </c>
      <c r="L58" s="53" t="str">
        <f aca="false">IF(SUMPRODUCT((tl_target=$C58)*(tl_sub=L$4)*(tl_align="Primary"))&gt;0,"P",IF(SUMPRODUCT((tl_target=$C58)*(tl_sub=L$4))&gt;0,"S",""))</f>
        <v/>
      </c>
      <c r="M58" s="53" t="str">
        <f aca="false">IF(SUMPRODUCT((tl_target=$C58)*(tl_sub=M$4)*(tl_align="Primary"))&gt;0,"P",IF(SUMPRODUCT((tl_target=$C58)*(tl_sub=M$4))&gt;0,"S",""))</f>
        <v/>
      </c>
      <c r="N58" s="53" t="str">
        <f aca="false">IF(SUMPRODUCT((tl_target=$C58)*(tl_sub=N$4)*(tl_align="Primary"))&gt;0,"P",IF(SUMPRODUCT((tl_target=$C58)*(tl_sub=N$4))&gt;0,"S",""))</f>
        <v/>
      </c>
      <c r="O58" s="53" t="str">
        <f aca="false">IF(SUMPRODUCT((tl_target=$C58)*(tl_sub=O$4)*(tl_align="Primary"))&gt;0,"P",IF(SUMPRODUCT((tl_target=$C58)*(tl_sub=O$4))&gt;0,"S",""))</f>
        <v/>
      </c>
      <c r="P58" s="53" t="str">
        <f aca="false">IF(SUMPRODUCT((tl_target=$C58)*(tl_sub=P$4)*(tl_align="Primary"))&gt;0,"P",IF(SUMPRODUCT((tl_target=$C58)*(tl_sub=P$4))&gt;0,"S",""))</f>
        <v/>
      </c>
      <c r="Q58" s="53" t="str">
        <f aca="false">IF(SUMPRODUCT((tl_target=$C58)*(tl_sub=Q$4)*(tl_align="Primary"))&gt;0,"P",IF(SUMPRODUCT((tl_target=$C58)*(tl_sub=Q$4))&gt;0,"S",""))</f>
        <v/>
      </c>
      <c r="R58" s="69" t="str">
        <f aca="false">_xlfn.TEXTJOIN(", ",TRUE(),IF(SUMPRODUCT((tl_target=$C58)*(tl_principle="PP1"))&gt;0,"PP1",""),IF(SUMPRODUCT((tl_target=$C58)*(tl_principle="PP2"))&gt;0,"PP2",""),IF(SUMPRODUCT((tl_target=$C58)*(tl_principle="PP3"))&gt;0,"PP3",""),IF(SUMPRODUCT((tl_target=$C58)*(tl_principle="PP4"))&gt;0,"PP4",""))</f>
        <v/>
      </c>
      <c r="S58" s="9" t="n">
        <f aca="false">SUMPRODUCT(--(tl_target=$C58))</f>
        <v>0</v>
      </c>
      <c r="T58" s="53" t="str">
        <f aca="false">IF(SUMPRODUCT((tl_target=$C58)*(tl_align="Primary"))&gt;0,"Primary link",IF(S58&gt;0,"Secondary only","Gap"))</f>
        <v>Gap</v>
      </c>
      <c r="U58" s="66"/>
      <c r="V58" s="66"/>
      <c r="W58" s="66"/>
      <c r="X58" s="66"/>
      <c r="Y58" s="66"/>
    </row>
    <row r="59" customFormat="false" ht="23.85" hidden="false" customHeight="false" outlineLevel="0" collapsed="false">
      <c r="A59" s="21" t="n">
        <v>6</v>
      </c>
      <c r="B59" s="5" t="s">
        <v>219</v>
      </c>
      <c r="C59" s="13" t="s">
        <v>704</v>
      </c>
      <c r="D59" s="5" t="s">
        <v>612</v>
      </c>
      <c r="E59" s="5"/>
      <c r="F59" s="5" t="s">
        <v>705</v>
      </c>
      <c r="G59" s="9" t="n">
        <v>1</v>
      </c>
      <c r="H59" s="53" t="str">
        <f aca="false">IF(SUMPRODUCT((tl_target=$C59)*(tl_sub=H$4)*(tl_align="Primary"))&gt;0,"P",IF(SUMPRODUCT((tl_target=$C59)*(tl_sub=H$4))&gt;0,"S",""))</f>
        <v/>
      </c>
      <c r="I59" s="53" t="str">
        <f aca="false">IF(SUMPRODUCT((tl_target=$C59)*(tl_sub=I$4)*(tl_align="Primary"))&gt;0,"P",IF(SUMPRODUCT((tl_target=$C59)*(tl_sub=I$4))&gt;0,"S",""))</f>
        <v/>
      </c>
      <c r="J59" s="53" t="str">
        <f aca="false">IF(SUMPRODUCT((tl_target=$C59)*(tl_sub=J$4)*(tl_align="Primary"))&gt;0,"P",IF(SUMPRODUCT((tl_target=$C59)*(tl_sub=J$4))&gt;0,"S",""))</f>
        <v/>
      </c>
      <c r="K59" s="53" t="str">
        <f aca="false">IF(SUMPRODUCT((tl_target=$C59)*(tl_sub=K$4)*(tl_align="Primary"))&gt;0,"P",IF(SUMPRODUCT((tl_target=$C59)*(tl_sub=K$4))&gt;0,"S",""))</f>
        <v/>
      </c>
      <c r="L59" s="53" t="str">
        <f aca="false">IF(SUMPRODUCT((tl_target=$C59)*(tl_sub=L$4)*(tl_align="Primary"))&gt;0,"P",IF(SUMPRODUCT((tl_target=$C59)*(tl_sub=L$4))&gt;0,"S",""))</f>
        <v/>
      </c>
      <c r="M59" s="53" t="str">
        <f aca="false">IF(SUMPRODUCT((tl_target=$C59)*(tl_sub=M$4)*(tl_align="Primary"))&gt;0,"P",IF(SUMPRODUCT((tl_target=$C59)*(tl_sub=M$4))&gt;0,"S",""))</f>
        <v/>
      </c>
      <c r="N59" s="53" t="str">
        <f aca="false">IF(SUMPRODUCT((tl_target=$C59)*(tl_sub=N$4)*(tl_align="Primary"))&gt;0,"P",IF(SUMPRODUCT((tl_target=$C59)*(tl_sub=N$4))&gt;0,"S",""))</f>
        <v/>
      </c>
      <c r="O59" s="53" t="str">
        <f aca="false">IF(SUMPRODUCT((tl_target=$C59)*(tl_sub=O$4)*(tl_align="Primary"))&gt;0,"P",IF(SUMPRODUCT((tl_target=$C59)*(tl_sub=O$4))&gt;0,"S",""))</f>
        <v/>
      </c>
      <c r="P59" s="53" t="str">
        <f aca="false">IF(SUMPRODUCT((tl_target=$C59)*(tl_sub=P$4)*(tl_align="Primary"))&gt;0,"P",IF(SUMPRODUCT((tl_target=$C59)*(tl_sub=P$4))&gt;0,"S",""))</f>
        <v/>
      </c>
      <c r="Q59" s="53" t="str">
        <f aca="false">IF(SUMPRODUCT((tl_target=$C59)*(tl_sub=Q$4)*(tl_align="Primary"))&gt;0,"P",IF(SUMPRODUCT((tl_target=$C59)*(tl_sub=Q$4))&gt;0,"S",""))</f>
        <v/>
      </c>
      <c r="R59" s="69" t="str">
        <f aca="false">_xlfn.TEXTJOIN(", ",TRUE(),IF(SUMPRODUCT((tl_target=$C59)*(tl_principle="PP1"))&gt;0,"PP1",""),IF(SUMPRODUCT((tl_target=$C59)*(tl_principle="PP2"))&gt;0,"PP2",""),IF(SUMPRODUCT((tl_target=$C59)*(tl_principle="PP3"))&gt;0,"PP3",""),IF(SUMPRODUCT((tl_target=$C59)*(tl_principle="PP4"))&gt;0,"PP4",""))</f>
        <v/>
      </c>
      <c r="S59" s="9" t="n">
        <f aca="false">SUMPRODUCT(--(tl_target=$C59))</f>
        <v>0</v>
      </c>
      <c r="T59" s="53" t="str">
        <f aca="false">IF(SUMPRODUCT((tl_target=$C59)*(tl_align="Primary"))&gt;0,"Primary link",IF(S59&gt;0,"Secondary only","Gap"))</f>
        <v>Gap</v>
      </c>
      <c r="U59" s="66"/>
      <c r="V59" s="66"/>
      <c r="W59" s="66"/>
      <c r="X59" s="66"/>
      <c r="Y59" s="66"/>
    </row>
    <row r="60" customFormat="false" ht="23.85" hidden="false" customHeight="false" outlineLevel="0" collapsed="false">
      <c r="A60" s="22" t="n">
        <v>7</v>
      </c>
      <c r="B60" s="5" t="s">
        <v>229</v>
      </c>
      <c r="C60" s="13" t="s">
        <v>706</v>
      </c>
      <c r="D60" s="5" t="s">
        <v>499</v>
      </c>
      <c r="E60" s="5"/>
      <c r="F60" s="5" t="s">
        <v>707</v>
      </c>
      <c r="G60" s="9" t="n">
        <v>2</v>
      </c>
      <c r="H60" s="53" t="str">
        <f aca="false">IF(SUMPRODUCT((tl_target=$C60)*(tl_sub=H$4)*(tl_align="Primary"))&gt;0,"P",IF(SUMPRODUCT((tl_target=$C60)*(tl_sub=H$4))&gt;0,"S",""))</f>
        <v/>
      </c>
      <c r="I60" s="53" t="str">
        <f aca="false">IF(SUMPRODUCT((tl_target=$C60)*(tl_sub=I$4)*(tl_align="Primary"))&gt;0,"P",IF(SUMPRODUCT((tl_target=$C60)*(tl_sub=I$4))&gt;0,"S",""))</f>
        <v/>
      </c>
      <c r="J60" s="53" t="str">
        <f aca="false">IF(SUMPRODUCT((tl_target=$C60)*(tl_sub=J$4)*(tl_align="Primary"))&gt;0,"P",IF(SUMPRODUCT((tl_target=$C60)*(tl_sub=J$4))&gt;0,"S",""))</f>
        <v/>
      </c>
      <c r="K60" s="53" t="str">
        <f aca="false">IF(SUMPRODUCT((tl_target=$C60)*(tl_sub=K$4)*(tl_align="Primary"))&gt;0,"P",IF(SUMPRODUCT((tl_target=$C60)*(tl_sub=K$4))&gt;0,"S",""))</f>
        <v/>
      </c>
      <c r="L60" s="53" t="str">
        <f aca="false">IF(SUMPRODUCT((tl_target=$C60)*(tl_sub=L$4)*(tl_align="Primary"))&gt;0,"P",IF(SUMPRODUCT((tl_target=$C60)*(tl_sub=L$4))&gt;0,"S",""))</f>
        <v/>
      </c>
      <c r="M60" s="53" t="str">
        <f aca="false">IF(SUMPRODUCT((tl_target=$C60)*(tl_sub=M$4)*(tl_align="Primary"))&gt;0,"P",IF(SUMPRODUCT((tl_target=$C60)*(tl_sub=M$4))&gt;0,"S",""))</f>
        <v/>
      </c>
      <c r="N60" s="53" t="str">
        <f aca="false">IF(SUMPRODUCT((tl_target=$C60)*(tl_sub=N$4)*(tl_align="Primary"))&gt;0,"P",IF(SUMPRODUCT((tl_target=$C60)*(tl_sub=N$4))&gt;0,"S",""))</f>
        <v/>
      </c>
      <c r="O60" s="53" t="str">
        <f aca="false">IF(SUMPRODUCT((tl_target=$C60)*(tl_sub=O$4)*(tl_align="Primary"))&gt;0,"P",IF(SUMPRODUCT((tl_target=$C60)*(tl_sub=O$4))&gt;0,"S",""))</f>
        <v/>
      </c>
      <c r="P60" s="53" t="str">
        <f aca="false">IF(SUMPRODUCT((tl_target=$C60)*(tl_sub=P$4)*(tl_align="Primary"))&gt;0,"P",IF(SUMPRODUCT((tl_target=$C60)*(tl_sub=P$4))&gt;0,"S",""))</f>
        <v/>
      </c>
      <c r="Q60" s="53" t="str">
        <f aca="false">IF(SUMPRODUCT((tl_target=$C60)*(tl_sub=Q$4)*(tl_align="Primary"))&gt;0,"P",IF(SUMPRODUCT((tl_target=$C60)*(tl_sub=Q$4))&gt;0,"S",""))</f>
        <v/>
      </c>
      <c r="R60" s="69" t="str">
        <f aca="false">_xlfn.TEXTJOIN(", ",TRUE(),IF(SUMPRODUCT((tl_target=$C60)*(tl_principle="PP1"))&gt;0,"PP1",""),IF(SUMPRODUCT((tl_target=$C60)*(tl_principle="PP2"))&gt;0,"PP2",""),IF(SUMPRODUCT((tl_target=$C60)*(tl_principle="PP3"))&gt;0,"PP3",""),IF(SUMPRODUCT((tl_target=$C60)*(tl_principle="PP4"))&gt;0,"PP4",""))</f>
        <v/>
      </c>
      <c r="S60" s="9" t="n">
        <f aca="false">SUMPRODUCT(--(tl_target=$C60))</f>
        <v>0</v>
      </c>
      <c r="T60" s="53" t="str">
        <f aca="false">IF(SUMPRODUCT((tl_target=$C60)*(tl_align="Primary"))&gt;0,"Primary link",IF(S60&gt;0,"Secondary only","Gap"))</f>
        <v>Gap</v>
      </c>
      <c r="U60" s="66"/>
      <c r="V60" s="66"/>
      <c r="W60" s="66"/>
      <c r="X60" s="66"/>
      <c r="Y60" s="66"/>
    </row>
    <row r="61" customFormat="false" ht="23.85" hidden="false" customHeight="false" outlineLevel="0" collapsed="false">
      <c r="A61" s="22" t="n">
        <v>7</v>
      </c>
      <c r="B61" s="5" t="s">
        <v>229</v>
      </c>
      <c r="C61" s="13" t="s">
        <v>230</v>
      </c>
      <c r="D61" s="5" t="s">
        <v>499</v>
      </c>
      <c r="E61" s="5" t="s">
        <v>231</v>
      </c>
      <c r="F61" s="5" t="s">
        <v>232</v>
      </c>
      <c r="G61" s="9" t="n">
        <v>1</v>
      </c>
      <c r="H61" s="53" t="str">
        <f aca="false">IF(SUMPRODUCT((tl_target=$C61)*(tl_sub=H$4)*(tl_align="Primary"))&gt;0,"P",IF(SUMPRODUCT((tl_target=$C61)*(tl_sub=H$4))&gt;0,"S",""))</f>
        <v/>
      </c>
      <c r="I61" s="53" t="str">
        <f aca="false">IF(SUMPRODUCT((tl_target=$C61)*(tl_sub=I$4)*(tl_align="Primary"))&gt;0,"P",IF(SUMPRODUCT((tl_target=$C61)*(tl_sub=I$4))&gt;0,"S",""))</f>
        <v/>
      </c>
      <c r="J61" s="53" t="str">
        <f aca="false">IF(SUMPRODUCT((tl_target=$C61)*(tl_sub=J$4)*(tl_align="Primary"))&gt;0,"P",IF(SUMPRODUCT((tl_target=$C61)*(tl_sub=J$4))&gt;0,"S",""))</f>
        <v>S</v>
      </c>
      <c r="K61" s="53" t="str">
        <f aca="false">IF(SUMPRODUCT((tl_target=$C61)*(tl_sub=K$4)*(tl_align="Primary"))&gt;0,"P",IF(SUMPRODUCT((tl_target=$C61)*(tl_sub=K$4))&gt;0,"S",""))</f>
        <v/>
      </c>
      <c r="L61" s="53" t="str">
        <f aca="false">IF(SUMPRODUCT((tl_target=$C61)*(tl_sub=L$4)*(tl_align="Primary"))&gt;0,"P",IF(SUMPRODUCT((tl_target=$C61)*(tl_sub=L$4))&gt;0,"S",""))</f>
        <v/>
      </c>
      <c r="M61" s="53" t="str">
        <f aca="false">IF(SUMPRODUCT((tl_target=$C61)*(tl_sub=M$4)*(tl_align="Primary"))&gt;0,"P",IF(SUMPRODUCT((tl_target=$C61)*(tl_sub=M$4))&gt;0,"S",""))</f>
        <v/>
      </c>
      <c r="N61" s="53" t="str">
        <f aca="false">IF(SUMPRODUCT((tl_target=$C61)*(tl_sub=N$4)*(tl_align="Primary"))&gt;0,"P",IF(SUMPRODUCT((tl_target=$C61)*(tl_sub=N$4))&gt;0,"S",""))</f>
        <v/>
      </c>
      <c r="O61" s="53" t="str">
        <f aca="false">IF(SUMPRODUCT((tl_target=$C61)*(tl_sub=O$4)*(tl_align="Primary"))&gt;0,"P",IF(SUMPRODUCT((tl_target=$C61)*(tl_sub=O$4))&gt;0,"S",""))</f>
        <v/>
      </c>
      <c r="P61" s="53" t="str">
        <f aca="false">IF(SUMPRODUCT((tl_target=$C61)*(tl_sub=P$4)*(tl_align="Primary"))&gt;0,"P",IF(SUMPRODUCT((tl_target=$C61)*(tl_sub=P$4))&gt;0,"S",""))</f>
        <v/>
      </c>
      <c r="Q61" s="53" t="str">
        <f aca="false">IF(SUMPRODUCT((tl_target=$C61)*(tl_sub=Q$4)*(tl_align="Primary"))&gt;0,"P",IF(SUMPRODUCT((tl_target=$C61)*(tl_sub=Q$4))&gt;0,"S",""))</f>
        <v/>
      </c>
      <c r="R61" s="69" t="str">
        <f aca="false">_xlfn.TEXTJOIN(", ",TRUE(),IF(SUMPRODUCT((tl_target=$C61)*(tl_principle="PP1"))&gt;0,"PP1",""),IF(SUMPRODUCT((tl_target=$C61)*(tl_principle="PP2"))&gt;0,"PP2",""),IF(SUMPRODUCT((tl_target=$C61)*(tl_principle="PP3"))&gt;0,"PP3",""),IF(SUMPRODUCT((tl_target=$C61)*(tl_principle="PP4"))&gt;0,"PP4",""))</f>
        <v>PP2</v>
      </c>
      <c r="S61" s="9" t="n">
        <f aca="false">SUMPRODUCT(--(tl_target=$C61))</f>
        <v>1</v>
      </c>
      <c r="T61" s="53" t="str">
        <f aca="false">IF(SUMPRODUCT((tl_target=$C61)*(tl_align="Primary"))&gt;0,"Primary link",IF(S61&gt;0,"Secondary only","Gap"))</f>
        <v>Secondary only</v>
      </c>
      <c r="U61" s="66"/>
      <c r="V61" s="66"/>
      <c r="W61" s="66"/>
      <c r="X61" s="66"/>
      <c r="Y61" s="66"/>
    </row>
    <row r="62" customFormat="false" ht="23.85" hidden="false" customHeight="false" outlineLevel="0" collapsed="false">
      <c r="A62" s="22" t="n">
        <v>7</v>
      </c>
      <c r="B62" s="5" t="s">
        <v>229</v>
      </c>
      <c r="C62" s="13" t="s">
        <v>235</v>
      </c>
      <c r="D62" s="5" t="s">
        <v>499</v>
      </c>
      <c r="E62" s="5" t="s">
        <v>236</v>
      </c>
      <c r="F62" s="5" t="s">
        <v>237</v>
      </c>
      <c r="G62" s="9" t="n">
        <v>1</v>
      </c>
      <c r="H62" s="53" t="str">
        <f aca="false">IF(SUMPRODUCT((tl_target=$C62)*(tl_sub=H$4)*(tl_align="Primary"))&gt;0,"P",IF(SUMPRODUCT((tl_target=$C62)*(tl_sub=H$4))&gt;0,"S",""))</f>
        <v/>
      </c>
      <c r="I62" s="53" t="str">
        <f aca="false">IF(SUMPRODUCT((tl_target=$C62)*(tl_sub=I$4)*(tl_align="Primary"))&gt;0,"P",IF(SUMPRODUCT((tl_target=$C62)*(tl_sub=I$4))&gt;0,"S",""))</f>
        <v/>
      </c>
      <c r="J62" s="53" t="str">
        <f aca="false">IF(SUMPRODUCT((tl_target=$C62)*(tl_sub=J$4)*(tl_align="Primary"))&gt;0,"P",IF(SUMPRODUCT((tl_target=$C62)*(tl_sub=J$4))&gt;0,"S",""))</f>
        <v>S</v>
      </c>
      <c r="K62" s="53" t="str">
        <f aca="false">IF(SUMPRODUCT((tl_target=$C62)*(tl_sub=K$4)*(tl_align="Primary"))&gt;0,"P",IF(SUMPRODUCT((tl_target=$C62)*(tl_sub=K$4))&gt;0,"S",""))</f>
        <v/>
      </c>
      <c r="L62" s="53" t="str">
        <f aca="false">IF(SUMPRODUCT((tl_target=$C62)*(tl_sub=L$4)*(tl_align="Primary"))&gt;0,"P",IF(SUMPRODUCT((tl_target=$C62)*(tl_sub=L$4))&gt;0,"S",""))</f>
        <v/>
      </c>
      <c r="M62" s="53" t="str">
        <f aca="false">IF(SUMPRODUCT((tl_target=$C62)*(tl_sub=M$4)*(tl_align="Primary"))&gt;0,"P",IF(SUMPRODUCT((tl_target=$C62)*(tl_sub=M$4))&gt;0,"S",""))</f>
        <v/>
      </c>
      <c r="N62" s="53" t="str">
        <f aca="false">IF(SUMPRODUCT((tl_target=$C62)*(tl_sub=N$4)*(tl_align="Primary"))&gt;0,"P",IF(SUMPRODUCT((tl_target=$C62)*(tl_sub=N$4))&gt;0,"S",""))</f>
        <v/>
      </c>
      <c r="O62" s="53" t="str">
        <f aca="false">IF(SUMPRODUCT((tl_target=$C62)*(tl_sub=O$4)*(tl_align="Primary"))&gt;0,"P",IF(SUMPRODUCT((tl_target=$C62)*(tl_sub=O$4))&gt;0,"S",""))</f>
        <v/>
      </c>
      <c r="P62" s="53" t="str">
        <f aca="false">IF(SUMPRODUCT((tl_target=$C62)*(tl_sub=P$4)*(tl_align="Primary"))&gt;0,"P",IF(SUMPRODUCT((tl_target=$C62)*(tl_sub=P$4))&gt;0,"S",""))</f>
        <v/>
      </c>
      <c r="Q62" s="53" t="str">
        <f aca="false">IF(SUMPRODUCT((tl_target=$C62)*(tl_sub=Q$4)*(tl_align="Primary"))&gt;0,"P",IF(SUMPRODUCT((tl_target=$C62)*(tl_sub=Q$4))&gt;0,"S",""))</f>
        <v/>
      </c>
      <c r="R62" s="69" t="str">
        <f aca="false">_xlfn.TEXTJOIN(", ",TRUE(),IF(SUMPRODUCT((tl_target=$C62)*(tl_principle="PP1"))&gt;0,"PP1",""),IF(SUMPRODUCT((tl_target=$C62)*(tl_principle="PP2"))&gt;0,"PP2",""),IF(SUMPRODUCT((tl_target=$C62)*(tl_principle="PP3"))&gt;0,"PP3",""),IF(SUMPRODUCT((tl_target=$C62)*(tl_principle="PP4"))&gt;0,"PP4",""))</f>
        <v>PP2</v>
      </c>
      <c r="S62" s="9" t="n">
        <f aca="false">SUMPRODUCT(--(tl_target=$C62))</f>
        <v>1</v>
      </c>
      <c r="T62" s="53" t="str">
        <f aca="false">IF(SUMPRODUCT((tl_target=$C62)*(tl_align="Primary"))&gt;0,"Primary link",IF(S62&gt;0,"Secondary only","Gap"))</f>
        <v>Secondary only</v>
      </c>
      <c r="U62" s="66"/>
      <c r="V62" s="66"/>
      <c r="W62" s="66"/>
      <c r="X62" s="66"/>
      <c r="Y62" s="66"/>
    </row>
    <row r="63" customFormat="false" ht="46.25" hidden="false" customHeight="false" outlineLevel="0" collapsed="false">
      <c r="A63" s="22" t="n">
        <v>7</v>
      </c>
      <c r="B63" s="5" t="s">
        <v>229</v>
      </c>
      <c r="C63" s="13" t="s">
        <v>708</v>
      </c>
      <c r="D63" s="5" t="s">
        <v>612</v>
      </c>
      <c r="E63" s="5"/>
      <c r="F63" s="5" t="s">
        <v>709</v>
      </c>
      <c r="G63" s="9" t="n">
        <v>1</v>
      </c>
      <c r="H63" s="53" t="str">
        <f aca="false">IF(SUMPRODUCT((tl_target=$C63)*(tl_sub=H$4)*(tl_align="Primary"))&gt;0,"P",IF(SUMPRODUCT((tl_target=$C63)*(tl_sub=H$4))&gt;0,"S",""))</f>
        <v/>
      </c>
      <c r="I63" s="53" t="str">
        <f aca="false">IF(SUMPRODUCT((tl_target=$C63)*(tl_sub=I$4)*(tl_align="Primary"))&gt;0,"P",IF(SUMPRODUCT((tl_target=$C63)*(tl_sub=I$4))&gt;0,"S",""))</f>
        <v/>
      </c>
      <c r="J63" s="53" t="str">
        <f aca="false">IF(SUMPRODUCT((tl_target=$C63)*(tl_sub=J$4)*(tl_align="Primary"))&gt;0,"P",IF(SUMPRODUCT((tl_target=$C63)*(tl_sub=J$4))&gt;0,"S",""))</f>
        <v/>
      </c>
      <c r="K63" s="53" t="str">
        <f aca="false">IF(SUMPRODUCT((tl_target=$C63)*(tl_sub=K$4)*(tl_align="Primary"))&gt;0,"P",IF(SUMPRODUCT((tl_target=$C63)*(tl_sub=K$4))&gt;0,"S",""))</f>
        <v/>
      </c>
      <c r="L63" s="53" t="str">
        <f aca="false">IF(SUMPRODUCT((tl_target=$C63)*(tl_sub=L$4)*(tl_align="Primary"))&gt;0,"P",IF(SUMPRODUCT((tl_target=$C63)*(tl_sub=L$4))&gt;0,"S",""))</f>
        <v/>
      </c>
      <c r="M63" s="53" t="str">
        <f aca="false">IF(SUMPRODUCT((tl_target=$C63)*(tl_sub=M$4)*(tl_align="Primary"))&gt;0,"P",IF(SUMPRODUCT((tl_target=$C63)*(tl_sub=M$4))&gt;0,"S",""))</f>
        <v/>
      </c>
      <c r="N63" s="53" t="str">
        <f aca="false">IF(SUMPRODUCT((tl_target=$C63)*(tl_sub=N$4)*(tl_align="Primary"))&gt;0,"P",IF(SUMPRODUCT((tl_target=$C63)*(tl_sub=N$4))&gt;0,"S",""))</f>
        <v/>
      </c>
      <c r="O63" s="53" t="str">
        <f aca="false">IF(SUMPRODUCT((tl_target=$C63)*(tl_sub=O$4)*(tl_align="Primary"))&gt;0,"P",IF(SUMPRODUCT((tl_target=$C63)*(tl_sub=O$4))&gt;0,"S",""))</f>
        <v/>
      </c>
      <c r="P63" s="53" t="str">
        <f aca="false">IF(SUMPRODUCT((tl_target=$C63)*(tl_sub=P$4)*(tl_align="Primary"))&gt;0,"P",IF(SUMPRODUCT((tl_target=$C63)*(tl_sub=P$4))&gt;0,"S",""))</f>
        <v/>
      </c>
      <c r="Q63" s="53" t="str">
        <f aca="false">IF(SUMPRODUCT((tl_target=$C63)*(tl_sub=Q$4)*(tl_align="Primary"))&gt;0,"P",IF(SUMPRODUCT((tl_target=$C63)*(tl_sub=Q$4))&gt;0,"S",""))</f>
        <v/>
      </c>
      <c r="R63" s="69" t="str">
        <f aca="false">_xlfn.TEXTJOIN(", ",TRUE(),IF(SUMPRODUCT((tl_target=$C63)*(tl_principle="PP1"))&gt;0,"PP1",""),IF(SUMPRODUCT((tl_target=$C63)*(tl_principle="PP2"))&gt;0,"PP2",""),IF(SUMPRODUCT((tl_target=$C63)*(tl_principle="PP3"))&gt;0,"PP3",""),IF(SUMPRODUCT((tl_target=$C63)*(tl_principle="PP4"))&gt;0,"PP4",""))</f>
        <v/>
      </c>
      <c r="S63" s="9" t="n">
        <f aca="false">SUMPRODUCT(--(tl_target=$C63))</f>
        <v>0</v>
      </c>
      <c r="T63" s="53" t="str">
        <f aca="false">IF(SUMPRODUCT((tl_target=$C63)*(tl_align="Primary"))&gt;0,"Primary link",IF(S63&gt;0,"Secondary only","Gap"))</f>
        <v>Gap</v>
      </c>
      <c r="U63" s="66"/>
      <c r="V63" s="66"/>
      <c r="W63" s="66"/>
      <c r="X63" s="66"/>
      <c r="Y63" s="66"/>
    </row>
    <row r="64" customFormat="false" ht="57.45" hidden="false" customHeight="false" outlineLevel="0" collapsed="false">
      <c r="A64" s="22" t="n">
        <v>7</v>
      </c>
      <c r="B64" s="5" t="s">
        <v>229</v>
      </c>
      <c r="C64" s="13" t="s">
        <v>710</v>
      </c>
      <c r="D64" s="5" t="s">
        <v>612</v>
      </c>
      <c r="E64" s="5"/>
      <c r="F64" s="5" t="s">
        <v>711</v>
      </c>
      <c r="G64" s="9" t="n">
        <v>1</v>
      </c>
      <c r="H64" s="53" t="str">
        <f aca="false">IF(SUMPRODUCT((tl_target=$C64)*(tl_sub=H$4)*(tl_align="Primary"))&gt;0,"P",IF(SUMPRODUCT((tl_target=$C64)*(tl_sub=H$4))&gt;0,"S",""))</f>
        <v/>
      </c>
      <c r="I64" s="53" t="str">
        <f aca="false">IF(SUMPRODUCT((tl_target=$C64)*(tl_sub=I$4)*(tl_align="Primary"))&gt;0,"P",IF(SUMPRODUCT((tl_target=$C64)*(tl_sub=I$4))&gt;0,"S",""))</f>
        <v/>
      </c>
      <c r="J64" s="53" t="str">
        <f aca="false">IF(SUMPRODUCT((tl_target=$C64)*(tl_sub=J$4)*(tl_align="Primary"))&gt;0,"P",IF(SUMPRODUCT((tl_target=$C64)*(tl_sub=J$4))&gt;0,"S",""))</f>
        <v/>
      </c>
      <c r="K64" s="53" t="str">
        <f aca="false">IF(SUMPRODUCT((tl_target=$C64)*(tl_sub=K$4)*(tl_align="Primary"))&gt;0,"P",IF(SUMPRODUCT((tl_target=$C64)*(tl_sub=K$4))&gt;0,"S",""))</f>
        <v/>
      </c>
      <c r="L64" s="53" t="str">
        <f aca="false">IF(SUMPRODUCT((tl_target=$C64)*(tl_sub=L$4)*(tl_align="Primary"))&gt;0,"P",IF(SUMPRODUCT((tl_target=$C64)*(tl_sub=L$4))&gt;0,"S",""))</f>
        <v/>
      </c>
      <c r="M64" s="53" t="str">
        <f aca="false">IF(SUMPRODUCT((tl_target=$C64)*(tl_sub=M$4)*(tl_align="Primary"))&gt;0,"P",IF(SUMPRODUCT((tl_target=$C64)*(tl_sub=M$4))&gt;0,"S",""))</f>
        <v/>
      </c>
      <c r="N64" s="53" t="str">
        <f aca="false">IF(SUMPRODUCT((tl_target=$C64)*(tl_sub=N$4)*(tl_align="Primary"))&gt;0,"P",IF(SUMPRODUCT((tl_target=$C64)*(tl_sub=N$4))&gt;0,"S",""))</f>
        <v/>
      </c>
      <c r="O64" s="53" t="str">
        <f aca="false">IF(SUMPRODUCT((tl_target=$C64)*(tl_sub=O$4)*(tl_align="Primary"))&gt;0,"P",IF(SUMPRODUCT((tl_target=$C64)*(tl_sub=O$4))&gt;0,"S",""))</f>
        <v/>
      </c>
      <c r="P64" s="53" t="str">
        <f aca="false">IF(SUMPRODUCT((tl_target=$C64)*(tl_sub=P$4)*(tl_align="Primary"))&gt;0,"P",IF(SUMPRODUCT((tl_target=$C64)*(tl_sub=P$4))&gt;0,"S",""))</f>
        <v/>
      </c>
      <c r="Q64" s="53" t="str">
        <f aca="false">IF(SUMPRODUCT((tl_target=$C64)*(tl_sub=Q$4)*(tl_align="Primary"))&gt;0,"P",IF(SUMPRODUCT((tl_target=$C64)*(tl_sub=Q$4))&gt;0,"S",""))</f>
        <v/>
      </c>
      <c r="R64" s="69" t="str">
        <f aca="false">_xlfn.TEXTJOIN(", ",TRUE(),IF(SUMPRODUCT((tl_target=$C64)*(tl_principle="PP1"))&gt;0,"PP1",""),IF(SUMPRODUCT((tl_target=$C64)*(tl_principle="PP2"))&gt;0,"PP2",""),IF(SUMPRODUCT((tl_target=$C64)*(tl_principle="PP3"))&gt;0,"PP3",""),IF(SUMPRODUCT((tl_target=$C64)*(tl_principle="PP4"))&gt;0,"PP4",""))</f>
        <v/>
      </c>
      <c r="S64" s="9" t="n">
        <f aca="false">SUMPRODUCT(--(tl_target=$C64))</f>
        <v>0</v>
      </c>
      <c r="T64" s="53" t="str">
        <f aca="false">IF(SUMPRODUCT((tl_target=$C64)*(tl_align="Primary"))&gt;0,"Primary link",IF(S64&gt;0,"Secondary only","Gap"))</f>
        <v>Gap</v>
      </c>
      <c r="U64" s="66"/>
      <c r="V64" s="66"/>
      <c r="W64" s="66"/>
      <c r="X64" s="66"/>
      <c r="Y64" s="66"/>
    </row>
    <row r="65" customFormat="false" ht="35.05" hidden="false" customHeight="false" outlineLevel="0" collapsed="false">
      <c r="A65" s="15" t="n">
        <v>8</v>
      </c>
      <c r="B65" s="5" t="s">
        <v>167</v>
      </c>
      <c r="C65" s="13" t="s">
        <v>712</v>
      </c>
      <c r="D65" s="5" t="s">
        <v>499</v>
      </c>
      <c r="E65" s="5"/>
      <c r="F65" s="5" t="s">
        <v>713</v>
      </c>
      <c r="G65" s="9" t="n">
        <v>1</v>
      </c>
      <c r="H65" s="53" t="str">
        <f aca="false">IF(SUMPRODUCT((tl_target=$C65)*(tl_sub=H$4)*(tl_align="Primary"))&gt;0,"P",IF(SUMPRODUCT((tl_target=$C65)*(tl_sub=H$4))&gt;0,"S",""))</f>
        <v/>
      </c>
      <c r="I65" s="53" t="str">
        <f aca="false">IF(SUMPRODUCT((tl_target=$C65)*(tl_sub=I$4)*(tl_align="Primary"))&gt;0,"P",IF(SUMPRODUCT((tl_target=$C65)*(tl_sub=I$4))&gt;0,"S",""))</f>
        <v/>
      </c>
      <c r="J65" s="53" t="str">
        <f aca="false">IF(SUMPRODUCT((tl_target=$C65)*(tl_sub=J$4)*(tl_align="Primary"))&gt;0,"P",IF(SUMPRODUCT((tl_target=$C65)*(tl_sub=J$4))&gt;0,"S",""))</f>
        <v/>
      </c>
      <c r="K65" s="53" t="str">
        <f aca="false">IF(SUMPRODUCT((tl_target=$C65)*(tl_sub=K$4)*(tl_align="Primary"))&gt;0,"P",IF(SUMPRODUCT((tl_target=$C65)*(tl_sub=K$4))&gt;0,"S",""))</f>
        <v/>
      </c>
      <c r="L65" s="53" t="str">
        <f aca="false">IF(SUMPRODUCT((tl_target=$C65)*(tl_sub=L$4)*(tl_align="Primary"))&gt;0,"P",IF(SUMPRODUCT((tl_target=$C65)*(tl_sub=L$4))&gt;0,"S",""))</f>
        <v/>
      </c>
      <c r="M65" s="53" t="str">
        <f aca="false">IF(SUMPRODUCT((tl_target=$C65)*(tl_sub=M$4)*(tl_align="Primary"))&gt;0,"P",IF(SUMPRODUCT((tl_target=$C65)*(tl_sub=M$4))&gt;0,"S",""))</f>
        <v/>
      </c>
      <c r="N65" s="53" t="str">
        <f aca="false">IF(SUMPRODUCT((tl_target=$C65)*(tl_sub=N$4)*(tl_align="Primary"))&gt;0,"P",IF(SUMPRODUCT((tl_target=$C65)*(tl_sub=N$4))&gt;0,"S",""))</f>
        <v/>
      </c>
      <c r="O65" s="53" t="str">
        <f aca="false">IF(SUMPRODUCT((tl_target=$C65)*(tl_sub=O$4)*(tl_align="Primary"))&gt;0,"P",IF(SUMPRODUCT((tl_target=$C65)*(tl_sub=O$4))&gt;0,"S",""))</f>
        <v/>
      </c>
      <c r="P65" s="53" t="str">
        <f aca="false">IF(SUMPRODUCT((tl_target=$C65)*(tl_sub=P$4)*(tl_align="Primary"))&gt;0,"P",IF(SUMPRODUCT((tl_target=$C65)*(tl_sub=P$4))&gt;0,"S",""))</f>
        <v/>
      </c>
      <c r="Q65" s="53" t="str">
        <f aca="false">IF(SUMPRODUCT((tl_target=$C65)*(tl_sub=Q$4)*(tl_align="Primary"))&gt;0,"P",IF(SUMPRODUCT((tl_target=$C65)*(tl_sub=Q$4))&gt;0,"S",""))</f>
        <v/>
      </c>
      <c r="R65" s="69" t="str">
        <f aca="false">_xlfn.TEXTJOIN(", ",TRUE(),IF(SUMPRODUCT((tl_target=$C65)*(tl_principle="PP1"))&gt;0,"PP1",""),IF(SUMPRODUCT((tl_target=$C65)*(tl_principle="PP2"))&gt;0,"PP2",""),IF(SUMPRODUCT((tl_target=$C65)*(tl_principle="PP3"))&gt;0,"PP3",""),IF(SUMPRODUCT((tl_target=$C65)*(tl_principle="PP4"))&gt;0,"PP4",""))</f>
        <v/>
      </c>
      <c r="S65" s="9" t="n">
        <f aca="false">SUMPRODUCT(--(tl_target=$C65))</f>
        <v>0</v>
      </c>
      <c r="T65" s="53" t="str">
        <f aca="false">IF(SUMPRODUCT((tl_target=$C65)*(tl_align="Primary"))&gt;0,"Primary link",IF(S65&gt;0,"Secondary only","Gap"))</f>
        <v>Gap</v>
      </c>
      <c r="U65" s="66"/>
      <c r="V65" s="66"/>
      <c r="W65" s="66"/>
      <c r="X65" s="66"/>
      <c r="Y65" s="66"/>
    </row>
    <row r="66" customFormat="false" ht="35.05" hidden="false" customHeight="false" outlineLevel="0" collapsed="false">
      <c r="A66" s="15" t="n">
        <v>8</v>
      </c>
      <c r="B66" s="5" t="s">
        <v>167</v>
      </c>
      <c r="C66" s="13" t="s">
        <v>168</v>
      </c>
      <c r="D66" s="5" t="s">
        <v>499</v>
      </c>
      <c r="E66" s="5" t="s">
        <v>169</v>
      </c>
      <c r="F66" s="5" t="s">
        <v>170</v>
      </c>
      <c r="G66" s="9" t="n">
        <v>1</v>
      </c>
      <c r="H66" s="53" t="str">
        <f aca="false">IF(SUMPRODUCT((tl_target=$C66)*(tl_sub=H$4)*(tl_align="Primary"))&gt;0,"P",IF(SUMPRODUCT((tl_target=$C66)*(tl_sub=H$4))&gt;0,"S",""))</f>
        <v>S</v>
      </c>
      <c r="I66" s="53" t="str">
        <f aca="false">IF(SUMPRODUCT((tl_target=$C66)*(tl_sub=I$4)*(tl_align="Primary"))&gt;0,"P",IF(SUMPRODUCT((tl_target=$C66)*(tl_sub=I$4))&gt;0,"S",""))</f>
        <v>S</v>
      </c>
      <c r="J66" s="53" t="str">
        <f aca="false">IF(SUMPRODUCT((tl_target=$C66)*(tl_sub=J$4)*(tl_align="Primary"))&gt;0,"P",IF(SUMPRODUCT((tl_target=$C66)*(tl_sub=J$4))&gt;0,"S",""))</f>
        <v/>
      </c>
      <c r="K66" s="53" t="str">
        <f aca="false">IF(SUMPRODUCT((tl_target=$C66)*(tl_sub=K$4)*(tl_align="Primary"))&gt;0,"P",IF(SUMPRODUCT((tl_target=$C66)*(tl_sub=K$4))&gt;0,"S",""))</f>
        <v/>
      </c>
      <c r="L66" s="53" t="str">
        <f aca="false">IF(SUMPRODUCT((tl_target=$C66)*(tl_sub=L$4)*(tl_align="Primary"))&gt;0,"P",IF(SUMPRODUCT((tl_target=$C66)*(tl_sub=L$4))&gt;0,"S",""))</f>
        <v/>
      </c>
      <c r="M66" s="53" t="str">
        <f aca="false">IF(SUMPRODUCT((tl_target=$C66)*(tl_sub=M$4)*(tl_align="Primary"))&gt;0,"P",IF(SUMPRODUCT((tl_target=$C66)*(tl_sub=M$4))&gt;0,"S",""))</f>
        <v/>
      </c>
      <c r="N66" s="53" t="str">
        <f aca="false">IF(SUMPRODUCT((tl_target=$C66)*(tl_sub=N$4)*(tl_align="Primary"))&gt;0,"P",IF(SUMPRODUCT((tl_target=$C66)*(tl_sub=N$4))&gt;0,"S",""))</f>
        <v/>
      </c>
      <c r="O66" s="53" t="str">
        <f aca="false">IF(SUMPRODUCT((tl_target=$C66)*(tl_sub=O$4)*(tl_align="Primary"))&gt;0,"P",IF(SUMPRODUCT((tl_target=$C66)*(tl_sub=O$4))&gt;0,"S",""))</f>
        <v/>
      </c>
      <c r="P66" s="53" t="str">
        <f aca="false">IF(SUMPRODUCT((tl_target=$C66)*(tl_sub=P$4)*(tl_align="Primary"))&gt;0,"P",IF(SUMPRODUCT((tl_target=$C66)*(tl_sub=P$4))&gt;0,"S",""))</f>
        <v/>
      </c>
      <c r="Q66" s="53" t="str">
        <f aca="false">IF(SUMPRODUCT((tl_target=$C66)*(tl_sub=Q$4)*(tl_align="Primary"))&gt;0,"P",IF(SUMPRODUCT((tl_target=$C66)*(tl_sub=Q$4))&gt;0,"S",""))</f>
        <v/>
      </c>
      <c r="R66" s="69" t="str">
        <f aca="false">_xlfn.TEXTJOIN(", ",TRUE(),IF(SUMPRODUCT((tl_target=$C66)*(tl_principle="PP1"))&gt;0,"PP1",""),IF(SUMPRODUCT((tl_target=$C66)*(tl_principle="PP2"))&gt;0,"PP2",""),IF(SUMPRODUCT((tl_target=$C66)*(tl_principle="PP3"))&gt;0,"PP3",""),IF(SUMPRODUCT((tl_target=$C66)*(tl_principle="PP4"))&gt;0,"PP4",""))</f>
        <v>PP1</v>
      </c>
      <c r="S66" s="9" t="n">
        <f aca="false">SUMPRODUCT(--(tl_target=$C66))</f>
        <v>2</v>
      </c>
      <c r="T66" s="53" t="str">
        <f aca="false">IF(SUMPRODUCT((tl_target=$C66)*(tl_align="Primary"))&gt;0,"Primary link",IF(S66&gt;0,"Secondary only","Gap"))</f>
        <v>Secondary only</v>
      </c>
      <c r="U66" s="66"/>
      <c r="V66" s="66"/>
      <c r="W66" s="66"/>
      <c r="X66" s="66"/>
      <c r="Y66" s="66"/>
    </row>
    <row r="67" customFormat="false" ht="46.25" hidden="false" customHeight="false" outlineLevel="0" collapsed="false">
      <c r="A67" s="15" t="n">
        <v>8</v>
      </c>
      <c r="B67" s="5" t="s">
        <v>167</v>
      </c>
      <c r="C67" s="13" t="s">
        <v>278</v>
      </c>
      <c r="D67" s="5" t="s">
        <v>499</v>
      </c>
      <c r="E67" s="5" t="s">
        <v>279</v>
      </c>
      <c r="F67" s="5" t="s">
        <v>280</v>
      </c>
      <c r="G67" s="9" t="n">
        <v>1</v>
      </c>
      <c r="H67" s="53" t="str">
        <f aca="false">IF(SUMPRODUCT((tl_target=$C67)*(tl_sub=H$4)*(tl_align="Primary"))&gt;0,"P",IF(SUMPRODUCT((tl_target=$C67)*(tl_sub=H$4))&gt;0,"S",""))</f>
        <v/>
      </c>
      <c r="I67" s="53" t="str">
        <f aca="false">IF(SUMPRODUCT((tl_target=$C67)*(tl_sub=I$4)*(tl_align="Primary"))&gt;0,"P",IF(SUMPRODUCT((tl_target=$C67)*(tl_sub=I$4))&gt;0,"S",""))</f>
        <v/>
      </c>
      <c r="J67" s="53" t="str">
        <f aca="false">IF(SUMPRODUCT((tl_target=$C67)*(tl_sub=J$4)*(tl_align="Primary"))&gt;0,"P",IF(SUMPRODUCT((tl_target=$C67)*(tl_sub=J$4))&gt;0,"S",""))</f>
        <v/>
      </c>
      <c r="K67" s="53" t="str">
        <f aca="false">IF(SUMPRODUCT((tl_target=$C67)*(tl_sub=K$4)*(tl_align="Primary"))&gt;0,"P",IF(SUMPRODUCT((tl_target=$C67)*(tl_sub=K$4))&gt;0,"S",""))</f>
        <v/>
      </c>
      <c r="L67" s="53" t="str">
        <f aca="false">IF(SUMPRODUCT((tl_target=$C67)*(tl_sub=L$4)*(tl_align="Primary"))&gt;0,"P",IF(SUMPRODUCT((tl_target=$C67)*(tl_sub=L$4))&gt;0,"S",""))</f>
        <v>S</v>
      </c>
      <c r="M67" s="53" t="str">
        <f aca="false">IF(SUMPRODUCT((tl_target=$C67)*(tl_sub=M$4)*(tl_align="Primary"))&gt;0,"P",IF(SUMPRODUCT((tl_target=$C67)*(tl_sub=M$4))&gt;0,"S",""))</f>
        <v/>
      </c>
      <c r="N67" s="53" t="str">
        <f aca="false">IF(SUMPRODUCT((tl_target=$C67)*(tl_sub=N$4)*(tl_align="Primary"))&gt;0,"P",IF(SUMPRODUCT((tl_target=$C67)*(tl_sub=N$4))&gt;0,"S",""))</f>
        <v/>
      </c>
      <c r="O67" s="53" t="str">
        <f aca="false">IF(SUMPRODUCT((tl_target=$C67)*(tl_sub=O$4)*(tl_align="Primary"))&gt;0,"P",IF(SUMPRODUCT((tl_target=$C67)*(tl_sub=O$4))&gt;0,"S",""))</f>
        <v>S</v>
      </c>
      <c r="P67" s="53" t="str">
        <f aca="false">IF(SUMPRODUCT((tl_target=$C67)*(tl_sub=P$4)*(tl_align="Primary"))&gt;0,"P",IF(SUMPRODUCT((tl_target=$C67)*(tl_sub=P$4))&gt;0,"S",""))</f>
        <v/>
      </c>
      <c r="Q67" s="53" t="str">
        <f aca="false">IF(SUMPRODUCT((tl_target=$C67)*(tl_sub=Q$4)*(tl_align="Primary"))&gt;0,"P",IF(SUMPRODUCT((tl_target=$C67)*(tl_sub=Q$4))&gt;0,"S",""))</f>
        <v>S</v>
      </c>
      <c r="R67" s="69" t="str">
        <f aca="false">_xlfn.TEXTJOIN(", ",TRUE(),IF(SUMPRODUCT((tl_target=$C67)*(tl_principle="PP1"))&gt;0,"PP1",""),IF(SUMPRODUCT((tl_target=$C67)*(tl_principle="PP2"))&gt;0,"PP2",""),IF(SUMPRODUCT((tl_target=$C67)*(tl_principle="PP3"))&gt;0,"PP3",""),IF(SUMPRODUCT((tl_target=$C67)*(tl_principle="PP4"))&gt;0,"PP4",""))</f>
        <v>PP2, PP3, PP4</v>
      </c>
      <c r="S67" s="9" t="n">
        <f aca="false">SUMPRODUCT(--(tl_target=$C67))</f>
        <v>3</v>
      </c>
      <c r="T67" s="53" t="str">
        <f aca="false">IF(SUMPRODUCT((tl_target=$C67)*(tl_align="Primary"))&gt;0,"Primary link",IF(S67&gt;0,"Secondary only","Gap"))</f>
        <v>Secondary only</v>
      </c>
      <c r="U67" s="66"/>
      <c r="V67" s="66"/>
      <c r="W67" s="66"/>
      <c r="X67" s="66"/>
      <c r="Y67" s="66"/>
    </row>
    <row r="68" customFormat="false" ht="57.45" hidden="false" customHeight="false" outlineLevel="0" collapsed="false">
      <c r="A68" s="15" t="n">
        <v>8</v>
      </c>
      <c r="B68" s="5" t="s">
        <v>167</v>
      </c>
      <c r="C68" s="13" t="s">
        <v>714</v>
      </c>
      <c r="D68" s="5" t="s">
        <v>499</v>
      </c>
      <c r="E68" s="5"/>
      <c r="F68" s="5" t="s">
        <v>715</v>
      </c>
      <c r="G68" s="9" t="n">
        <v>2</v>
      </c>
      <c r="H68" s="53" t="str">
        <f aca="false">IF(SUMPRODUCT((tl_target=$C68)*(tl_sub=H$4)*(tl_align="Primary"))&gt;0,"P",IF(SUMPRODUCT((tl_target=$C68)*(tl_sub=H$4))&gt;0,"S",""))</f>
        <v/>
      </c>
      <c r="I68" s="53" t="str">
        <f aca="false">IF(SUMPRODUCT((tl_target=$C68)*(tl_sub=I$4)*(tl_align="Primary"))&gt;0,"P",IF(SUMPRODUCT((tl_target=$C68)*(tl_sub=I$4))&gt;0,"S",""))</f>
        <v/>
      </c>
      <c r="J68" s="53" t="str">
        <f aca="false">IF(SUMPRODUCT((tl_target=$C68)*(tl_sub=J$4)*(tl_align="Primary"))&gt;0,"P",IF(SUMPRODUCT((tl_target=$C68)*(tl_sub=J$4))&gt;0,"S",""))</f>
        <v/>
      </c>
      <c r="K68" s="53" t="str">
        <f aca="false">IF(SUMPRODUCT((tl_target=$C68)*(tl_sub=K$4)*(tl_align="Primary"))&gt;0,"P",IF(SUMPRODUCT((tl_target=$C68)*(tl_sub=K$4))&gt;0,"S",""))</f>
        <v/>
      </c>
      <c r="L68" s="53" t="str">
        <f aca="false">IF(SUMPRODUCT((tl_target=$C68)*(tl_sub=L$4)*(tl_align="Primary"))&gt;0,"P",IF(SUMPRODUCT((tl_target=$C68)*(tl_sub=L$4))&gt;0,"S",""))</f>
        <v/>
      </c>
      <c r="M68" s="53" t="str">
        <f aca="false">IF(SUMPRODUCT((tl_target=$C68)*(tl_sub=M$4)*(tl_align="Primary"))&gt;0,"P",IF(SUMPRODUCT((tl_target=$C68)*(tl_sub=M$4))&gt;0,"S",""))</f>
        <v/>
      </c>
      <c r="N68" s="53" t="str">
        <f aca="false">IF(SUMPRODUCT((tl_target=$C68)*(tl_sub=N$4)*(tl_align="Primary"))&gt;0,"P",IF(SUMPRODUCT((tl_target=$C68)*(tl_sub=N$4))&gt;0,"S",""))</f>
        <v/>
      </c>
      <c r="O68" s="53" t="str">
        <f aca="false">IF(SUMPRODUCT((tl_target=$C68)*(tl_sub=O$4)*(tl_align="Primary"))&gt;0,"P",IF(SUMPRODUCT((tl_target=$C68)*(tl_sub=O$4))&gt;0,"S",""))</f>
        <v/>
      </c>
      <c r="P68" s="53" t="str">
        <f aca="false">IF(SUMPRODUCT((tl_target=$C68)*(tl_sub=P$4)*(tl_align="Primary"))&gt;0,"P",IF(SUMPRODUCT((tl_target=$C68)*(tl_sub=P$4))&gt;0,"S",""))</f>
        <v/>
      </c>
      <c r="Q68" s="53" t="str">
        <f aca="false">IF(SUMPRODUCT((tl_target=$C68)*(tl_sub=Q$4)*(tl_align="Primary"))&gt;0,"P",IF(SUMPRODUCT((tl_target=$C68)*(tl_sub=Q$4))&gt;0,"S",""))</f>
        <v/>
      </c>
      <c r="R68" s="69" t="str">
        <f aca="false">_xlfn.TEXTJOIN(", ",TRUE(),IF(SUMPRODUCT((tl_target=$C68)*(tl_principle="PP1"))&gt;0,"PP1",""),IF(SUMPRODUCT((tl_target=$C68)*(tl_principle="PP2"))&gt;0,"PP2",""),IF(SUMPRODUCT((tl_target=$C68)*(tl_principle="PP3"))&gt;0,"PP3",""),IF(SUMPRODUCT((tl_target=$C68)*(tl_principle="PP4"))&gt;0,"PP4",""))</f>
        <v/>
      </c>
      <c r="S68" s="9" t="n">
        <f aca="false">SUMPRODUCT(--(tl_target=$C68))</f>
        <v>0</v>
      </c>
      <c r="T68" s="53" t="str">
        <f aca="false">IF(SUMPRODUCT((tl_target=$C68)*(tl_align="Primary"))&gt;0,"Primary link",IF(S68&gt;0,"Secondary only","Gap"))</f>
        <v>Gap</v>
      </c>
      <c r="U68" s="66"/>
      <c r="V68" s="66"/>
      <c r="W68" s="66"/>
      <c r="X68" s="66"/>
      <c r="Y68" s="66"/>
    </row>
    <row r="69" customFormat="false" ht="35.05" hidden="false" customHeight="false" outlineLevel="0" collapsed="false">
      <c r="A69" s="15" t="n">
        <v>8</v>
      </c>
      <c r="B69" s="5" t="s">
        <v>167</v>
      </c>
      <c r="C69" s="13" t="s">
        <v>335</v>
      </c>
      <c r="D69" s="5" t="s">
        <v>499</v>
      </c>
      <c r="E69" s="5" t="s">
        <v>336</v>
      </c>
      <c r="F69" s="5" t="s">
        <v>337</v>
      </c>
      <c r="G69" s="9" t="n">
        <v>2</v>
      </c>
      <c r="H69" s="53" t="str">
        <f aca="false">IF(SUMPRODUCT((tl_target=$C69)*(tl_sub=H$4)*(tl_align="Primary"))&gt;0,"P",IF(SUMPRODUCT((tl_target=$C69)*(tl_sub=H$4))&gt;0,"S",""))</f>
        <v/>
      </c>
      <c r="I69" s="53" t="str">
        <f aca="false">IF(SUMPRODUCT((tl_target=$C69)*(tl_sub=I$4)*(tl_align="Primary"))&gt;0,"P",IF(SUMPRODUCT((tl_target=$C69)*(tl_sub=I$4))&gt;0,"S",""))</f>
        <v/>
      </c>
      <c r="J69" s="53" t="str">
        <f aca="false">IF(SUMPRODUCT((tl_target=$C69)*(tl_sub=J$4)*(tl_align="Primary"))&gt;0,"P",IF(SUMPRODUCT((tl_target=$C69)*(tl_sub=J$4))&gt;0,"S",""))</f>
        <v/>
      </c>
      <c r="K69" s="53" t="str">
        <f aca="false">IF(SUMPRODUCT((tl_target=$C69)*(tl_sub=K$4)*(tl_align="Primary"))&gt;0,"P",IF(SUMPRODUCT((tl_target=$C69)*(tl_sub=K$4))&gt;0,"S",""))</f>
        <v/>
      </c>
      <c r="L69" s="53" t="str">
        <f aca="false">IF(SUMPRODUCT((tl_target=$C69)*(tl_sub=L$4)*(tl_align="Primary"))&gt;0,"P",IF(SUMPRODUCT((tl_target=$C69)*(tl_sub=L$4))&gt;0,"S",""))</f>
        <v/>
      </c>
      <c r="M69" s="53" t="str">
        <f aca="false">IF(SUMPRODUCT((tl_target=$C69)*(tl_sub=M$4)*(tl_align="Primary"))&gt;0,"P",IF(SUMPRODUCT((tl_target=$C69)*(tl_sub=M$4))&gt;0,"S",""))</f>
        <v/>
      </c>
      <c r="N69" s="53" t="str">
        <f aca="false">IF(SUMPRODUCT((tl_target=$C69)*(tl_sub=N$4)*(tl_align="Primary"))&gt;0,"P",IF(SUMPRODUCT((tl_target=$C69)*(tl_sub=N$4))&gt;0,"S",""))</f>
        <v/>
      </c>
      <c r="O69" s="53" t="str">
        <f aca="false">IF(SUMPRODUCT((tl_target=$C69)*(tl_sub=O$4)*(tl_align="Primary"))&gt;0,"P",IF(SUMPRODUCT((tl_target=$C69)*(tl_sub=O$4))&gt;0,"S",""))</f>
        <v>S</v>
      </c>
      <c r="P69" s="53" t="str">
        <f aca="false">IF(SUMPRODUCT((tl_target=$C69)*(tl_sub=P$4)*(tl_align="Primary"))&gt;0,"P",IF(SUMPRODUCT((tl_target=$C69)*(tl_sub=P$4))&gt;0,"S",""))</f>
        <v/>
      </c>
      <c r="Q69" s="53" t="str">
        <f aca="false">IF(SUMPRODUCT((tl_target=$C69)*(tl_sub=Q$4)*(tl_align="Primary"))&gt;0,"P",IF(SUMPRODUCT((tl_target=$C69)*(tl_sub=Q$4))&gt;0,"S",""))</f>
        <v/>
      </c>
      <c r="R69" s="69" t="str">
        <f aca="false">_xlfn.TEXTJOIN(", ",TRUE(),IF(SUMPRODUCT((tl_target=$C69)*(tl_principle="PP1"))&gt;0,"PP1",""),IF(SUMPRODUCT((tl_target=$C69)*(tl_principle="PP2"))&gt;0,"PP2",""),IF(SUMPRODUCT((tl_target=$C69)*(tl_principle="PP3"))&gt;0,"PP3",""),IF(SUMPRODUCT((tl_target=$C69)*(tl_principle="PP4"))&gt;0,"PP4",""))</f>
        <v>PP3</v>
      </c>
      <c r="S69" s="9" t="n">
        <f aca="false">SUMPRODUCT(--(tl_target=$C69))</f>
        <v>1</v>
      </c>
      <c r="T69" s="53" t="str">
        <f aca="false">IF(SUMPRODUCT((tl_target=$C69)*(tl_align="Primary"))&gt;0,"Primary link",IF(S69&gt;0,"Secondary only","Gap"))</f>
        <v>Secondary only</v>
      </c>
      <c r="U69" s="66"/>
      <c r="V69" s="66"/>
      <c r="W69" s="66"/>
      <c r="X69" s="66"/>
      <c r="Y69" s="66"/>
    </row>
    <row r="70" customFormat="false" ht="23.85" hidden="false" customHeight="false" outlineLevel="0" collapsed="false">
      <c r="A70" s="15" t="n">
        <v>8</v>
      </c>
      <c r="B70" s="5" t="s">
        <v>167</v>
      </c>
      <c r="C70" s="13" t="s">
        <v>716</v>
      </c>
      <c r="D70" s="5" t="s">
        <v>499</v>
      </c>
      <c r="E70" s="5"/>
      <c r="F70" s="5" t="s">
        <v>717</v>
      </c>
      <c r="G70" s="9" t="n">
        <v>1</v>
      </c>
      <c r="H70" s="53" t="str">
        <f aca="false">IF(SUMPRODUCT((tl_target=$C70)*(tl_sub=H$4)*(tl_align="Primary"))&gt;0,"P",IF(SUMPRODUCT((tl_target=$C70)*(tl_sub=H$4))&gt;0,"S",""))</f>
        <v/>
      </c>
      <c r="I70" s="53" t="str">
        <f aca="false">IF(SUMPRODUCT((tl_target=$C70)*(tl_sub=I$4)*(tl_align="Primary"))&gt;0,"P",IF(SUMPRODUCT((tl_target=$C70)*(tl_sub=I$4))&gt;0,"S",""))</f>
        <v/>
      </c>
      <c r="J70" s="53" t="str">
        <f aca="false">IF(SUMPRODUCT((tl_target=$C70)*(tl_sub=J$4)*(tl_align="Primary"))&gt;0,"P",IF(SUMPRODUCT((tl_target=$C70)*(tl_sub=J$4))&gt;0,"S",""))</f>
        <v/>
      </c>
      <c r="K70" s="53" t="str">
        <f aca="false">IF(SUMPRODUCT((tl_target=$C70)*(tl_sub=K$4)*(tl_align="Primary"))&gt;0,"P",IF(SUMPRODUCT((tl_target=$C70)*(tl_sub=K$4))&gt;0,"S",""))</f>
        <v/>
      </c>
      <c r="L70" s="53" t="str">
        <f aca="false">IF(SUMPRODUCT((tl_target=$C70)*(tl_sub=L$4)*(tl_align="Primary"))&gt;0,"P",IF(SUMPRODUCT((tl_target=$C70)*(tl_sub=L$4))&gt;0,"S",""))</f>
        <v/>
      </c>
      <c r="M70" s="53" t="str">
        <f aca="false">IF(SUMPRODUCT((tl_target=$C70)*(tl_sub=M$4)*(tl_align="Primary"))&gt;0,"P",IF(SUMPRODUCT((tl_target=$C70)*(tl_sub=M$4))&gt;0,"S",""))</f>
        <v/>
      </c>
      <c r="N70" s="53" t="str">
        <f aca="false">IF(SUMPRODUCT((tl_target=$C70)*(tl_sub=N$4)*(tl_align="Primary"))&gt;0,"P",IF(SUMPRODUCT((tl_target=$C70)*(tl_sub=N$4))&gt;0,"S",""))</f>
        <v/>
      </c>
      <c r="O70" s="53" t="str">
        <f aca="false">IF(SUMPRODUCT((tl_target=$C70)*(tl_sub=O$4)*(tl_align="Primary"))&gt;0,"P",IF(SUMPRODUCT((tl_target=$C70)*(tl_sub=O$4))&gt;0,"S",""))</f>
        <v/>
      </c>
      <c r="P70" s="53" t="str">
        <f aca="false">IF(SUMPRODUCT((tl_target=$C70)*(tl_sub=P$4)*(tl_align="Primary"))&gt;0,"P",IF(SUMPRODUCT((tl_target=$C70)*(tl_sub=P$4))&gt;0,"S",""))</f>
        <v/>
      </c>
      <c r="Q70" s="53" t="str">
        <f aca="false">IF(SUMPRODUCT((tl_target=$C70)*(tl_sub=Q$4)*(tl_align="Primary"))&gt;0,"P",IF(SUMPRODUCT((tl_target=$C70)*(tl_sub=Q$4))&gt;0,"S",""))</f>
        <v/>
      </c>
      <c r="R70" s="69" t="str">
        <f aca="false">_xlfn.TEXTJOIN(", ",TRUE(),IF(SUMPRODUCT((tl_target=$C70)*(tl_principle="PP1"))&gt;0,"PP1",""),IF(SUMPRODUCT((tl_target=$C70)*(tl_principle="PP2"))&gt;0,"PP2",""),IF(SUMPRODUCT((tl_target=$C70)*(tl_principle="PP3"))&gt;0,"PP3",""),IF(SUMPRODUCT((tl_target=$C70)*(tl_principle="PP4"))&gt;0,"PP4",""))</f>
        <v/>
      </c>
      <c r="S70" s="9" t="n">
        <f aca="false">SUMPRODUCT(--(tl_target=$C70))</f>
        <v>0</v>
      </c>
      <c r="T70" s="53" t="str">
        <f aca="false">IF(SUMPRODUCT((tl_target=$C70)*(tl_align="Primary"))&gt;0,"Primary link",IF(S70&gt;0,"Secondary only","Gap"))</f>
        <v>Gap</v>
      </c>
      <c r="U70" s="66"/>
      <c r="V70" s="66"/>
      <c r="W70" s="66"/>
      <c r="X70" s="66"/>
      <c r="Y70" s="66"/>
    </row>
    <row r="71" customFormat="false" ht="46.25" hidden="false" customHeight="false" outlineLevel="0" collapsed="false">
      <c r="A71" s="15" t="n">
        <v>8</v>
      </c>
      <c r="B71" s="5" t="s">
        <v>167</v>
      </c>
      <c r="C71" s="13" t="s">
        <v>718</v>
      </c>
      <c r="D71" s="5" t="s">
        <v>499</v>
      </c>
      <c r="E71" s="5"/>
      <c r="F71" s="5" t="s">
        <v>719</v>
      </c>
      <c r="G71" s="9" t="n">
        <v>1</v>
      </c>
      <c r="H71" s="53" t="str">
        <f aca="false">IF(SUMPRODUCT((tl_target=$C71)*(tl_sub=H$4)*(tl_align="Primary"))&gt;0,"P",IF(SUMPRODUCT((tl_target=$C71)*(tl_sub=H$4))&gt;0,"S",""))</f>
        <v/>
      </c>
      <c r="I71" s="53" t="str">
        <f aca="false">IF(SUMPRODUCT((tl_target=$C71)*(tl_sub=I$4)*(tl_align="Primary"))&gt;0,"P",IF(SUMPRODUCT((tl_target=$C71)*(tl_sub=I$4))&gt;0,"S",""))</f>
        <v/>
      </c>
      <c r="J71" s="53" t="str">
        <f aca="false">IF(SUMPRODUCT((tl_target=$C71)*(tl_sub=J$4)*(tl_align="Primary"))&gt;0,"P",IF(SUMPRODUCT((tl_target=$C71)*(tl_sub=J$4))&gt;0,"S",""))</f>
        <v/>
      </c>
      <c r="K71" s="53" t="str">
        <f aca="false">IF(SUMPRODUCT((tl_target=$C71)*(tl_sub=K$4)*(tl_align="Primary"))&gt;0,"P",IF(SUMPRODUCT((tl_target=$C71)*(tl_sub=K$4))&gt;0,"S",""))</f>
        <v/>
      </c>
      <c r="L71" s="53" t="str">
        <f aca="false">IF(SUMPRODUCT((tl_target=$C71)*(tl_sub=L$4)*(tl_align="Primary"))&gt;0,"P",IF(SUMPRODUCT((tl_target=$C71)*(tl_sub=L$4))&gt;0,"S",""))</f>
        <v/>
      </c>
      <c r="M71" s="53" t="str">
        <f aca="false">IF(SUMPRODUCT((tl_target=$C71)*(tl_sub=M$4)*(tl_align="Primary"))&gt;0,"P",IF(SUMPRODUCT((tl_target=$C71)*(tl_sub=M$4))&gt;0,"S",""))</f>
        <v/>
      </c>
      <c r="N71" s="53" t="str">
        <f aca="false">IF(SUMPRODUCT((tl_target=$C71)*(tl_sub=N$4)*(tl_align="Primary"))&gt;0,"P",IF(SUMPRODUCT((tl_target=$C71)*(tl_sub=N$4))&gt;0,"S",""))</f>
        <v/>
      </c>
      <c r="O71" s="53" t="str">
        <f aca="false">IF(SUMPRODUCT((tl_target=$C71)*(tl_sub=O$4)*(tl_align="Primary"))&gt;0,"P",IF(SUMPRODUCT((tl_target=$C71)*(tl_sub=O$4))&gt;0,"S",""))</f>
        <v/>
      </c>
      <c r="P71" s="53" t="str">
        <f aca="false">IF(SUMPRODUCT((tl_target=$C71)*(tl_sub=P$4)*(tl_align="Primary"))&gt;0,"P",IF(SUMPRODUCT((tl_target=$C71)*(tl_sub=P$4))&gt;0,"S",""))</f>
        <v/>
      </c>
      <c r="Q71" s="53" t="str">
        <f aca="false">IF(SUMPRODUCT((tl_target=$C71)*(tl_sub=Q$4)*(tl_align="Primary"))&gt;0,"P",IF(SUMPRODUCT((tl_target=$C71)*(tl_sub=Q$4))&gt;0,"S",""))</f>
        <v/>
      </c>
      <c r="R71" s="69" t="str">
        <f aca="false">_xlfn.TEXTJOIN(", ",TRUE(),IF(SUMPRODUCT((tl_target=$C71)*(tl_principle="PP1"))&gt;0,"PP1",""),IF(SUMPRODUCT((tl_target=$C71)*(tl_principle="PP2"))&gt;0,"PP2",""),IF(SUMPRODUCT((tl_target=$C71)*(tl_principle="PP3"))&gt;0,"PP3",""),IF(SUMPRODUCT((tl_target=$C71)*(tl_principle="PP4"))&gt;0,"PP4",""))</f>
        <v/>
      </c>
      <c r="S71" s="9" t="n">
        <f aca="false">SUMPRODUCT(--(tl_target=$C71))</f>
        <v>0</v>
      </c>
      <c r="T71" s="53" t="str">
        <f aca="false">IF(SUMPRODUCT((tl_target=$C71)*(tl_align="Primary"))&gt;0,"Primary link",IF(S71&gt;0,"Secondary only","Gap"))</f>
        <v>Gap</v>
      </c>
      <c r="U71" s="66"/>
      <c r="V71" s="66"/>
      <c r="W71" s="66"/>
      <c r="X71" s="66"/>
      <c r="Y71" s="66"/>
    </row>
    <row r="72" customFormat="false" ht="35.05" hidden="false" customHeight="false" outlineLevel="0" collapsed="false">
      <c r="A72" s="15" t="n">
        <v>8</v>
      </c>
      <c r="B72" s="5" t="s">
        <v>167</v>
      </c>
      <c r="C72" s="13" t="s">
        <v>720</v>
      </c>
      <c r="D72" s="5" t="s">
        <v>499</v>
      </c>
      <c r="E72" s="5"/>
      <c r="F72" s="5" t="s">
        <v>721</v>
      </c>
      <c r="G72" s="9" t="n">
        <v>2</v>
      </c>
      <c r="H72" s="53" t="str">
        <f aca="false">IF(SUMPRODUCT((tl_target=$C72)*(tl_sub=H$4)*(tl_align="Primary"))&gt;0,"P",IF(SUMPRODUCT((tl_target=$C72)*(tl_sub=H$4))&gt;0,"S",""))</f>
        <v/>
      </c>
      <c r="I72" s="53" t="str">
        <f aca="false">IF(SUMPRODUCT((tl_target=$C72)*(tl_sub=I$4)*(tl_align="Primary"))&gt;0,"P",IF(SUMPRODUCT((tl_target=$C72)*(tl_sub=I$4))&gt;0,"S",""))</f>
        <v/>
      </c>
      <c r="J72" s="53" t="str">
        <f aca="false">IF(SUMPRODUCT((tl_target=$C72)*(tl_sub=J$4)*(tl_align="Primary"))&gt;0,"P",IF(SUMPRODUCT((tl_target=$C72)*(tl_sub=J$4))&gt;0,"S",""))</f>
        <v/>
      </c>
      <c r="K72" s="53" t="str">
        <f aca="false">IF(SUMPRODUCT((tl_target=$C72)*(tl_sub=K$4)*(tl_align="Primary"))&gt;0,"P",IF(SUMPRODUCT((tl_target=$C72)*(tl_sub=K$4))&gt;0,"S",""))</f>
        <v/>
      </c>
      <c r="L72" s="53" t="str">
        <f aca="false">IF(SUMPRODUCT((tl_target=$C72)*(tl_sub=L$4)*(tl_align="Primary"))&gt;0,"P",IF(SUMPRODUCT((tl_target=$C72)*(tl_sub=L$4))&gt;0,"S",""))</f>
        <v/>
      </c>
      <c r="M72" s="53" t="str">
        <f aca="false">IF(SUMPRODUCT((tl_target=$C72)*(tl_sub=M$4)*(tl_align="Primary"))&gt;0,"P",IF(SUMPRODUCT((tl_target=$C72)*(tl_sub=M$4))&gt;0,"S",""))</f>
        <v/>
      </c>
      <c r="N72" s="53" t="str">
        <f aca="false">IF(SUMPRODUCT((tl_target=$C72)*(tl_sub=N$4)*(tl_align="Primary"))&gt;0,"P",IF(SUMPRODUCT((tl_target=$C72)*(tl_sub=N$4))&gt;0,"S",""))</f>
        <v/>
      </c>
      <c r="O72" s="53" t="str">
        <f aca="false">IF(SUMPRODUCT((tl_target=$C72)*(tl_sub=O$4)*(tl_align="Primary"))&gt;0,"P",IF(SUMPRODUCT((tl_target=$C72)*(tl_sub=O$4))&gt;0,"S",""))</f>
        <v/>
      </c>
      <c r="P72" s="53" t="str">
        <f aca="false">IF(SUMPRODUCT((tl_target=$C72)*(tl_sub=P$4)*(tl_align="Primary"))&gt;0,"P",IF(SUMPRODUCT((tl_target=$C72)*(tl_sub=P$4))&gt;0,"S",""))</f>
        <v/>
      </c>
      <c r="Q72" s="53" t="str">
        <f aca="false">IF(SUMPRODUCT((tl_target=$C72)*(tl_sub=Q$4)*(tl_align="Primary"))&gt;0,"P",IF(SUMPRODUCT((tl_target=$C72)*(tl_sub=Q$4))&gt;0,"S",""))</f>
        <v/>
      </c>
      <c r="R72" s="69" t="str">
        <f aca="false">_xlfn.TEXTJOIN(", ",TRUE(),IF(SUMPRODUCT((tl_target=$C72)*(tl_principle="PP1"))&gt;0,"PP1",""),IF(SUMPRODUCT((tl_target=$C72)*(tl_principle="PP2"))&gt;0,"PP2",""),IF(SUMPRODUCT((tl_target=$C72)*(tl_principle="PP3"))&gt;0,"PP3",""),IF(SUMPRODUCT((tl_target=$C72)*(tl_principle="PP4"))&gt;0,"PP4",""))</f>
        <v/>
      </c>
      <c r="S72" s="9" t="n">
        <f aca="false">SUMPRODUCT(--(tl_target=$C72))</f>
        <v>0</v>
      </c>
      <c r="T72" s="53" t="str">
        <f aca="false">IF(SUMPRODUCT((tl_target=$C72)*(tl_align="Primary"))&gt;0,"Primary link",IF(S72&gt;0,"Secondary only","Gap"))</f>
        <v>Gap</v>
      </c>
      <c r="U72" s="66"/>
      <c r="V72" s="66"/>
      <c r="W72" s="66"/>
      <c r="X72" s="66"/>
      <c r="Y72" s="66"/>
    </row>
    <row r="73" customFormat="false" ht="23.85" hidden="false" customHeight="false" outlineLevel="0" collapsed="false">
      <c r="A73" s="15" t="n">
        <v>8</v>
      </c>
      <c r="B73" s="5" t="s">
        <v>167</v>
      </c>
      <c r="C73" s="13" t="s">
        <v>722</v>
      </c>
      <c r="D73" s="5" t="s">
        <v>499</v>
      </c>
      <c r="E73" s="5"/>
      <c r="F73" s="5" t="s">
        <v>723</v>
      </c>
      <c r="G73" s="9" t="n">
        <v>2</v>
      </c>
      <c r="H73" s="53" t="str">
        <f aca="false">IF(SUMPRODUCT((tl_target=$C73)*(tl_sub=H$4)*(tl_align="Primary"))&gt;0,"P",IF(SUMPRODUCT((tl_target=$C73)*(tl_sub=H$4))&gt;0,"S",""))</f>
        <v/>
      </c>
      <c r="I73" s="53" t="str">
        <f aca="false">IF(SUMPRODUCT((tl_target=$C73)*(tl_sub=I$4)*(tl_align="Primary"))&gt;0,"P",IF(SUMPRODUCT((tl_target=$C73)*(tl_sub=I$4))&gt;0,"S",""))</f>
        <v/>
      </c>
      <c r="J73" s="53" t="str">
        <f aca="false">IF(SUMPRODUCT((tl_target=$C73)*(tl_sub=J$4)*(tl_align="Primary"))&gt;0,"P",IF(SUMPRODUCT((tl_target=$C73)*(tl_sub=J$4))&gt;0,"S",""))</f>
        <v/>
      </c>
      <c r="K73" s="53" t="str">
        <f aca="false">IF(SUMPRODUCT((tl_target=$C73)*(tl_sub=K$4)*(tl_align="Primary"))&gt;0,"P",IF(SUMPRODUCT((tl_target=$C73)*(tl_sub=K$4))&gt;0,"S",""))</f>
        <v/>
      </c>
      <c r="L73" s="53" t="str">
        <f aca="false">IF(SUMPRODUCT((tl_target=$C73)*(tl_sub=L$4)*(tl_align="Primary"))&gt;0,"P",IF(SUMPRODUCT((tl_target=$C73)*(tl_sub=L$4))&gt;0,"S",""))</f>
        <v/>
      </c>
      <c r="M73" s="53" t="str">
        <f aca="false">IF(SUMPRODUCT((tl_target=$C73)*(tl_sub=M$4)*(tl_align="Primary"))&gt;0,"P",IF(SUMPRODUCT((tl_target=$C73)*(tl_sub=M$4))&gt;0,"S",""))</f>
        <v/>
      </c>
      <c r="N73" s="53" t="str">
        <f aca="false">IF(SUMPRODUCT((tl_target=$C73)*(tl_sub=N$4)*(tl_align="Primary"))&gt;0,"P",IF(SUMPRODUCT((tl_target=$C73)*(tl_sub=N$4))&gt;0,"S",""))</f>
        <v/>
      </c>
      <c r="O73" s="53" t="str">
        <f aca="false">IF(SUMPRODUCT((tl_target=$C73)*(tl_sub=O$4)*(tl_align="Primary"))&gt;0,"P",IF(SUMPRODUCT((tl_target=$C73)*(tl_sub=O$4))&gt;0,"S",""))</f>
        <v/>
      </c>
      <c r="P73" s="53" t="str">
        <f aca="false">IF(SUMPRODUCT((tl_target=$C73)*(tl_sub=P$4)*(tl_align="Primary"))&gt;0,"P",IF(SUMPRODUCT((tl_target=$C73)*(tl_sub=P$4))&gt;0,"S",""))</f>
        <v/>
      </c>
      <c r="Q73" s="53" t="str">
        <f aca="false">IF(SUMPRODUCT((tl_target=$C73)*(tl_sub=Q$4)*(tl_align="Primary"))&gt;0,"P",IF(SUMPRODUCT((tl_target=$C73)*(tl_sub=Q$4))&gt;0,"S",""))</f>
        <v/>
      </c>
      <c r="R73" s="69" t="str">
        <f aca="false">_xlfn.TEXTJOIN(", ",TRUE(),IF(SUMPRODUCT((tl_target=$C73)*(tl_principle="PP1"))&gt;0,"PP1",""),IF(SUMPRODUCT((tl_target=$C73)*(tl_principle="PP2"))&gt;0,"PP2",""),IF(SUMPRODUCT((tl_target=$C73)*(tl_principle="PP3"))&gt;0,"PP3",""),IF(SUMPRODUCT((tl_target=$C73)*(tl_principle="PP4"))&gt;0,"PP4",""))</f>
        <v/>
      </c>
      <c r="S73" s="9" t="n">
        <f aca="false">SUMPRODUCT(--(tl_target=$C73))</f>
        <v>0</v>
      </c>
      <c r="T73" s="53" t="str">
        <f aca="false">IF(SUMPRODUCT((tl_target=$C73)*(tl_align="Primary"))&gt;0,"Primary link",IF(S73&gt;0,"Secondary only","Gap"))</f>
        <v>Gap</v>
      </c>
      <c r="U73" s="66"/>
      <c r="V73" s="66"/>
      <c r="W73" s="66"/>
      <c r="X73" s="66"/>
      <c r="Y73" s="66"/>
    </row>
    <row r="74" customFormat="false" ht="23.85" hidden="false" customHeight="false" outlineLevel="0" collapsed="false">
      <c r="A74" s="15" t="n">
        <v>8</v>
      </c>
      <c r="B74" s="5" t="s">
        <v>167</v>
      </c>
      <c r="C74" s="13" t="s">
        <v>724</v>
      </c>
      <c r="D74" s="5" t="s">
        <v>499</v>
      </c>
      <c r="E74" s="5"/>
      <c r="F74" s="5" t="s">
        <v>725</v>
      </c>
      <c r="G74" s="9" t="n">
        <v>2</v>
      </c>
      <c r="H74" s="53" t="str">
        <f aca="false">IF(SUMPRODUCT((tl_target=$C74)*(tl_sub=H$4)*(tl_align="Primary"))&gt;0,"P",IF(SUMPRODUCT((tl_target=$C74)*(tl_sub=H$4))&gt;0,"S",""))</f>
        <v/>
      </c>
      <c r="I74" s="53" t="str">
        <f aca="false">IF(SUMPRODUCT((tl_target=$C74)*(tl_sub=I$4)*(tl_align="Primary"))&gt;0,"P",IF(SUMPRODUCT((tl_target=$C74)*(tl_sub=I$4))&gt;0,"S",""))</f>
        <v/>
      </c>
      <c r="J74" s="53" t="str">
        <f aca="false">IF(SUMPRODUCT((tl_target=$C74)*(tl_sub=J$4)*(tl_align="Primary"))&gt;0,"P",IF(SUMPRODUCT((tl_target=$C74)*(tl_sub=J$4))&gt;0,"S",""))</f>
        <v/>
      </c>
      <c r="K74" s="53" t="str">
        <f aca="false">IF(SUMPRODUCT((tl_target=$C74)*(tl_sub=K$4)*(tl_align="Primary"))&gt;0,"P",IF(SUMPRODUCT((tl_target=$C74)*(tl_sub=K$4))&gt;0,"S",""))</f>
        <v/>
      </c>
      <c r="L74" s="53" t="str">
        <f aca="false">IF(SUMPRODUCT((tl_target=$C74)*(tl_sub=L$4)*(tl_align="Primary"))&gt;0,"P",IF(SUMPRODUCT((tl_target=$C74)*(tl_sub=L$4))&gt;0,"S",""))</f>
        <v/>
      </c>
      <c r="M74" s="53" t="str">
        <f aca="false">IF(SUMPRODUCT((tl_target=$C74)*(tl_sub=M$4)*(tl_align="Primary"))&gt;0,"P",IF(SUMPRODUCT((tl_target=$C74)*(tl_sub=M$4))&gt;0,"S",""))</f>
        <v/>
      </c>
      <c r="N74" s="53" t="str">
        <f aca="false">IF(SUMPRODUCT((tl_target=$C74)*(tl_sub=N$4)*(tl_align="Primary"))&gt;0,"P",IF(SUMPRODUCT((tl_target=$C74)*(tl_sub=N$4))&gt;0,"S",""))</f>
        <v/>
      </c>
      <c r="O74" s="53" t="str">
        <f aca="false">IF(SUMPRODUCT((tl_target=$C74)*(tl_sub=O$4)*(tl_align="Primary"))&gt;0,"P",IF(SUMPRODUCT((tl_target=$C74)*(tl_sub=O$4))&gt;0,"S",""))</f>
        <v/>
      </c>
      <c r="P74" s="53" t="str">
        <f aca="false">IF(SUMPRODUCT((tl_target=$C74)*(tl_sub=P$4)*(tl_align="Primary"))&gt;0,"P",IF(SUMPRODUCT((tl_target=$C74)*(tl_sub=P$4))&gt;0,"S",""))</f>
        <v/>
      </c>
      <c r="Q74" s="53" t="str">
        <f aca="false">IF(SUMPRODUCT((tl_target=$C74)*(tl_sub=Q$4)*(tl_align="Primary"))&gt;0,"P",IF(SUMPRODUCT((tl_target=$C74)*(tl_sub=Q$4))&gt;0,"S",""))</f>
        <v/>
      </c>
      <c r="R74" s="69" t="str">
        <f aca="false">_xlfn.TEXTJOIN(", ",TRUE(),IF(SUMPRODUCT((tl_target=$C74)*(tl_principle="PP1"))&gt;0,"PP1",""),IF(SUMPRODUCT((tl_target=$C74)*(tl_principle="PP2"))&gt;0,"PP2",""),IF(SUMPRODUCT((tl_target=$C74)*(tl_principle="PP3"))&gt;0,"PP3",""),IF(SUMPRODUCT((tl_target=$C74)*(tl_principle="PP4"))&gt;0,"PP4",""))</f>
        <v/>
      </c>
      <c r="S74" s="9" t="n">
        <f aca="false">SUMPRODUCT(--(tl_target=$C74))</f>
        <v>0</v>
      </c>
      <c r="T74" s="53" t="str">
        <f aca="false">IF(SUMPRODUCT((tl_target=$C74)*(tl_align="Primary"))&gt;0,"Primary link",IF(S74&gt;0,"Secondary only","Gap"))</f>
        <v>Gap</v>
      </c>
      <c r="U74" s="66"/>
      <c r="V74" s="66"/>
      <c r="W74" s="66"/>
      <c r="X74" s="66"/>
      <c r="Y74" s="66"/>
    </row>
    <row r="75" customFormat="false" ht="35.05" hidden="false" customHeight="false" outlineLevel="0" collapsed="false">
      <c r="A75" s="15" t="n">
        <v>8</v>
      </c>
      <c r="B75" s="5" t="s">
        <v>167</v>
      </c>
      <c r="C75" s="13" t="s">
        <v>726</v>
      </c>
      <c r="D75" s="5" t="s">
        <v>612</v>
      </c>
      <c r="E75" s="5"/>
      <c r="F75" s="5" t="s">
        <v>727</v>
      </c>
      <c r="G75" s="9" t="n">
        <v>1</v>
      </c>
      <c r="H75" s="53" t="str">
        <f aca="false">IF(SUMPRODUCT((tl_target=$C75)*(tl_sub=H$4)*(tl_align="Primary"))&gt;0,"P",IF(SUMPRODUCT((tl_target=$C75)*(tl_sub=H$4))&gt;0,"S",""))</f>
        <v/>
      </c>
      <c r="I75" s="53" t="str">
        <f aca="false">IF(SUMPRODUCT((tl_target=$C75)*(tl_sub=I$4)*(tl_align="Primary"))&gt;0,"P",IF(SUMPRODUCT((tl_target=$C75)*(tl_sub=I$4))&gt;0,"S",""))</f>
        <v/>
      </c>
      <c r="J75" s="53" t="str">
        <f aca="false">IF(SUMPRODUCT((tl_target=$C75)*(tl_sub=J$4)*(tl_align="Primary"))&gt;0,"P",IF(SUMPRODUCT((tl_target=$C75)*(tl_sub=J$4))&gt;0,"S",""))</f>
        <v/>
      </c>
      <c r="K75" s="53" t="str">
        <f aca="false">IF(SUMPRODUCT((tl_target=$C75)*(tl_sub=K$4)*(tl_align="Primary"))&gt;0,"P",IF(SUMPRODUCT((tl_target=$C75)*(tl_sub=K$4))&gt;0,"S",""))</f>
        <v/>
      </c>
      <c r="L75" s="53" t="str">
        <f aca="false">IF(SUMPRODUCT((tl_target=$C75)*(tl_sub=L$4)*(tl_align="Primary"))&gt;0,"P",IF(SUMPRODUCT((tl_target=$C75)*(tl_sub=L$4))&gt;0,"S",""))</f>
        <v/>
      </c>
      <c r="M75" s="53" t="str">
        <f aca="false">IF(SUMPRODUCT((tl_target=$C75)*(tl_sub=M$4)*(tl_align="Primary"))&gt;0,"P",IF(SUMPRODUCT((tl_target=$C75)*(tl_sub=M$4))&gt;0,"S",""))</f>
        <v/>
      </c>
      <c r="N75" s="53" t="str">
        <f aca="false">IF(SUMPRODUCT((tl_target=$C75)*(tl_sub=N$4)*(tl_align="Primary"))&gt;0,"P",IF(SUMPRODUCT((tl_target=$C75)*(tl_sub=N$4))&gt;0,"S",""))</f>
        <v/>
      </c>
      <c r="O75" s="53" t="str">
        <f aca="false">IF(SUMPRODUCT((tl_target=$C75)*(tl_sub=O$4)*(tl_align="Primary"))&gt;0,"P",IF(SUMPRODUCT((tl_target=$C75)*(tl_sub=O$4))&gt;0,"S",""))</f>
        <v/>
      </c>
      <c r="P75" s="53" t="str">
        <f aca="false">IF(SUMPRODUCT((tl_target=$C75)*(tl_sub=P$4)*(tl_align="Primary"))&gt;0,"P",IF(SUMPRODUCT((tl_target=$C75)*(tl_sub=P$4))&gt;0,"S",""))</f>
        <v/>
      </c>
      <c r="Q75" s="53" t="str">
        <f aca="false">IF(SUMPRODUCT((tl_target=$C75)*(tl_sub=Q$4)*(tl_align="Primary"))&gt;0,"P",IF(SUMPRODUCT((tl_target=$C75)*(tl_sub=Q$4))&gt;0,"S",""))</f>
        <v/>
      </c>
      <c r="R75" s="69" t="str">
        <f aca="false">_xlfn.TEXTJOIN(", ",TRUE(),IF(SUMPRODUCT((tl_target=$C75)*(tl_principle="PP1"))&gt;0,"PP1",""),IF(SUMPRODUCT((tl_target=$C75)*(tl_principle="PP2"))&gt;0,"PP2",""),IF(SUMPRODUCT((tl_target=$C75)*(tl_principle="PP3"))&gt;0,"PP3",""),IF(SUMPRODUCT((tl_target=$C75)*(tl_principle="PP4"))&gt;0,"PP4",""))</f>
        <v/>
      </c>
      <c r="S75" s="9" t="n">
        <f aca="false">SUMPRODUCT(--(tl_target=$C75))</f>
        <v>0</v>
      </c>
      <c r="T75" s="53" t="str">
        <f aca="false">IF(SUMPRODUCT((tl_target=$C75)*(tl_align="Primary"))&gt;0,"Primary link",IF(S75&gt;0,"Secondary only","Gap"))</f>
        <v>Gap</v>
      </c>
      <c r="U75" s="66"/>
      <c r="V75" s="66"/>
      <c r="W75" s="66"/>
      <c r="X75" s="66"/>
      <c r="Y75" s="66"/>
    </row>
    <row r="76" customFormat="false" ht="23.85" hidden="false" customHeight="false" outlineLevel="0" collapsed="false">
      <c r="A76" s="15" t="n">
        <v>8</v>
      </c>
      <c r="B76" s="5" t="s">
        <v>167</v>
      </c>
      <c r="C76" s="13" t="s">
        <v>728</v>
      </c>
      <c r="D76" s="5" t="s">
        <v>612</v>
      </c>
      <c r="E76" s="5"/>
      <c r="F76" s="5" t="s">
        <v>729</v>
      </c>
      <c r="G76" s="9" t="n">
        <v>1</v>
      </c>
      <c r="H76" s="53" t="str">
        <f aca="false">IF(SUMPRODUCT((tl_target=$C76)*(tl_sub=H$4)*(tl_align="Primary"))&gt;0,"P",IF(SUMPRODUCT((tl_target=$C76)*(tl_sub=H$4))&gt;0,"S",""))</f>
        <v/>
      </c>
      <c r="I76" s="53" t="str">
        <f aca="false">IF(SUMPRODUCT((tl_target=$C76)*(tl_sub=I$4)*(tl_align="Primary"))&gt;0,"P",IF(SUMPRODUCT((tl_target=$C76)*(tl_sub=I$4))&gt;0,"S",""))</f>
        <v/>
      </c>
      <c r="J76" s="53" t="str">
        <f aca="false">IF(SUMPRODUCT((tl_target=$C76)*(tl_sub=J$4)*(tl_align="Primary"))&gt;0,"P",IF(SUMPRODUCT((tl_target=$C76)*(tl_sub=J$4))&gt;0,"S",""))</f>
        <v/>
      </c>
      <c r="K76" s="53" t="str">
        <f aca="false">IF(SUMPRODUCT((tl_target=$C76)*(tl_sub=K$4)*(tl_align="Primary"))&gt;0,"P",IF(SUMPRODUCT((tl_target=$C76)*(tl_sub=K$4))&gt;0,"S",""))</f>
        <v/>
      </c>
      <c r="L76" s="53" t="str">
        <f aca="false">IF(SUMPRODUCT((tl_target=$C76)*(tl_sub=L$4)*(tl_align="Primary"))&gt;0,"P",IF(SUMPRODUCT((tl_target=$C76)*(tl_sub=L$4))&gt;0,"S",""))</f>
        <v/>
      </c>
      <c r="M76" s="53" t="str">
        <f aca="false">IF(SUMPRODUCT((tl_target=$C76)*(tl_sub=M$4)*(tl_align="Primary"))&gt;0,"P",IF(SUMPRODUCT((tl_target=$C76)*(tl_sub=M$4))&gt;0,"S",""))</f>
        <v/>
      </c>
      <c r="N76" s="53" t="str">
        <f aca="false">IF(SUMPRODUCT((tl_target=$C76)*(tl_sub=N$4)*(tl_align="Primary"))&gt;0,"P",IF(SUMPRODUCT((tl_target=$C76)*(tl_sub=N$4))&gt;0,"S",""))</f>
        <v/>
      </c>
      <c r="O76" s="53" t="str">
        <f aca="false">IF(SUMPRODUCT((tl_target=$C76)*(tl_sub=O$4)*(tl_align="Primary"))&gt;0,"P",IF(SUMPRODUCT((tl_target=$C76)*(tl_sub=O$4))&gt;0,"S",""))</f>
        <v/>
      </c>
      <c r="P76" s="53" t="str">
        <f aca="false">IF(SUMPRODUCT((tl_target=$C76)*(tl_sub=P$4)*(tl_align="Primary"))&gt;0,"P",IF(SUMPRODUCT((tl_target=$C76)*(tl_sub=P$4))&gt;0,"S",""))</f>
        <v/>
      </c>
      <c r="Q76" s="53" t="str">
        <f aca="false">IF(SUMPRODUCT((tl_target=$C76)*(tl_sub=Q$4)*(tl_align="Primary"))&gt;0,"P",IF(SUMPRODUCT((tl_target=$C76)*(tl_sub=Q$4))&gt;0,"S",""))</f>
        <v/>
      </c>
      <c r="R76" s="69" t="str">
        <f aca="false">_xlfn.TEXTJOIN(", ",TRUE(),IF(SUMPRODUCT((tl_target=$C76)*(tl_principle="PP1"))&gt;0,"PP1",""),IF(SUMPRODUCT((tl_target=$C76)*(tl_principle="PP2"))&gt;0,"PP2",""),IF(SUMPRODUCT((tl_target=$C76)*(tl_principle="PP3"))&gt;0,"PP3",""),IF(SUMPRODUCT((tl_target=$C76)*(tl_principle="PP4"))&gt;0,"PP4",""))</f>
        <v/>
      </c>
      <c r="S76" s="9" t="n">
        <f aca="false">SUMPRODUCT(--(tl_target=$C76))</f>
        <v>0</v>
      </c>
      <c r="T76" s="53" t="str">
        <f aca="false">IF(SUMPRODUCT((tl_target=$C76)*(tl_align="Primary"))&gt;0,"Primary link",IF(S76&gt;0,"Secondary only","Gap"))</f>
        <v>Gap</v>
      </c>
      <c r="U76" s="66"/>
      <c r="V76" s="66"/>
      <c r="W76" s="66"/>
      <c r="X76" s="66"/>
      <c r="Y76" s="66"/>
    </row>
    <row r="77" customFormat="false" ht="35.05" hidden="false" customHeight="false" outlineLevel="0" collapsed="false">
      <c r="A77" s="12" t="n">
        <v>9</v>
      </c>
      <c r="B77" s="5" t="s">
        <v>153</v>
      </c>
      <c r="C77" s="13" t="s">
        <v>154</v>
      </c>
      <c r="D77" s="5" t="s">
        <v>499</v>
      </c>
      <c r="E77" s="5" t="s">
        <v>155</v>
      </c>
      <c r="F77" s="5" t="s">
        <v>156</v>
      </c>
      <c r="G77" s="9" t="n">
        <v>2</v>
      </c>
      <c r="H77" s="53" t="str">
        <f aca="false">IF(SUMPRODUCT((tl_target=$C77)*(tl_sub=H$4)*(tl_align="Primary"))&gt;0,"P",IF(SUMPRODUCT((tl_target=$C77)*(tl_sub=H$4))&gt;0,"S",""))</f>
        <v>P</v>
      </c>
      <c r="I77" s="53" t="str">
        <f aca="false">IF(SUMPRODUCT((tl_target=$C77)*(tl_sub=I$4)*(tl_align="Primary"))&gt;0,"P",IF(SUMPRODUCT((tl_target=$C77)*(tl_sub=I$4))&gt;0,"S",""))</f>
        <v/>
      </c>
      <c r="J77" s="53" t="str">
        <f aca="false">IF(SUMPRODUCT((tl_target=$C77)*(tl_sub=J$4)*(tl_align="Primary"))&gt;0,"P",IF(SUMPRODUCT((tl_target=$C77)*(tl_sub=J$4))&gt;0,"S",""))</f>
        <v>P</v>
      </c>
      <c r="K77" s="53" t="str">
        <f aca="false">IF(SUMPRODUCT((tl_target=$C77)*(tl_sub=K$4)*(tl_align="Primary"))&gt;0,"P",IF(SUMPRODUCT((tl_target=$C77)*(tl_sub=K$4))&gt;0,"S",""))</f>
        <v>S</v>
      </c>
      <c r="L77" s="53" t="str">
        <f aca="false">IF(SUMPRODUCT((tl_target=$C77)*(tl_sub=L$4)*(tl_align="Primary"))&gt;0,"P",IF(SUMPRODUCT((tl_target=$C77)*(tl_sub=L$4))&gt;0,"S",""))</f>
        <v/>
      </c>
      <c r="M77" s="53" t="str">
        <f aca="false">IF(SUMPRODUCT((tl_target=$C77)*(tl_sub=M$4)*(tl_align="Primary"))&gt;0,"P",IF(SUMPRODUCT((tl_target=$C77)*(tl_sub=M$4))&gt;0,"S",""))</f>
        <v>S</v>
      </c>
      <c r="N77" s="53" t="str">
        <f aca="false">IF(SUMPRODUCT((tl_target=$C77)*(tl_sub=N$4)*(tl_align="Primary"))&gt;0,"P",IF(SUMPRODUCT((tl_target=$C77)*(tl_sub=N$4))&gt;0,"S",""))</f>
        <v>S</v>
      </c>
      <c r="O77" s="53" t="str">
        <f aca="false">IF(SUMPRODUCT((tl_target=$C77)*(tl_sub=O$4)*(tl_align="Primary"))&gt;0,"P",IF(SUMPRODUCT((tl_target=$C77)*(tl_sub=O$4))&gt;0,"S",""))</f>
        <v/>
      </c>
      <c r="P77" s="53" t="str">
        <f aca="false">IF(SUMPRODUCT((tl_target=$C77)*(tl_sub=P$4)*(tl_align="Primary"))&gt;0,"P",IF(SUMPRODUCT((tl_target=$C77)*(tl_sub=P$4))&gt;0,"S",""))</f>
        <v/>
      </c>
      <c r="Q77" s="53" t="str">
        <f aca="false">IF(SUMPRODUCT((tl_target=$C77)*(tl_sub=Q$4)*(tl_align="Primary"))&gt;0,"P",IF(SUMPRODUCT((tl_target=$C77)*(tl_sub=Q$4))&gt;0,"S",""))</f>
        <v/>
      </c>
      <c r="R77" s="69" t="str">
        <f aca="false">_xlfn.TEXTJOIN(", ",TRUE(),IF(SUMPRODUCT((tl_target=$C77)*(tl_principle="PP1"))&gt;0,"PP1",""),IF(SUMPRODUCT((tl_target=$C77)*(tl_principle="PP2"))&gt;0,"PP2",""),IF(SUMPRODUCT((tl_target=$C77)*(tl_principle="PP3"))&gt;0,"PP3",""),IF(SUMPRODUCT((tl_target=$C77)*(tl_principle="PP4"))&gt;0,"PP4",""))</f>
        <v>PP1, PP2, PP3</v>
      </c>
      <c r="S77" s="9" t="n">
        <f aca="false">SUMPRODUCT(--(tl_target=$C77))</f>
        <v>5</v>
      </c>
      <c r="T77" s="53" t="str">
        <f aca="false">IF(SUMPRODUCT((tl_target=$C77)*(tl_align="Primary"))&gt;0,"Primary link",IF(S77&gt;0,"Secondary only","Gap"))</f>
        <v>Primary link</v>
      </c>
      <c r="U77" s="66"/>
      <c r="V77" s="66"/>
      <c r="W77" s="66"/>
      <c r="X77" s="66"/>
      <c r="Y77" s="66"/>
    </row>
    <row r="78" customFormat="false" ht="35.05" hidden="false" customHeight="false" outlineLevel="0" collapsed="false">
      <c r="A78" s="12" t="n">
        <v>9</v>
      </c>
      <c r="B78" s="5" t="s">
        <v>153</v>
      </c>
      <c r="C78" s="13" t="s">
        <v>730</v>
      </c>
      <c r="D78" s="5" t="s">
        <v>499</v>
      </c>
      <c r="E78" s="5"/>
      <c r="F78" s="5" t="s">
        <v>731</v>
      </c>
      <c r="G78" s="9" t="n">
        <v>2</v>
      </c>
      <c r="H78" s="53" t="str">
        <f aca="false">IF(SUMPRODUCT((tl_target=$C78)*(tl_sub=H$4)*(tl_align="Primary"))&gt;0,"P",IF(SUMPRODUCT((tl_target=$C78)*(tl_sub=H$4))&gt;0,"S",""))</f>
        <v/>
      </c>
      <c r="I78" s="53" t="str">
        <f aca="false">IF(SUMPRODUCT((tl_target=$C78)*(tl_sub=I$4)*(tl_align="Primary"))&gt;0,"P",IF(SUMPRODUCT((tl_target=$C78)*(tl_sub=I$4))&gt;0,"S",""))</f>
        <v/>
      </c>
      <c r="J78" s="53" t="str">
        <f aca="false">IF(SUMPRODUCT((tl_target=$C78)*(tl_sub=J$4)*(tl_align="Primary"))&gt;0,"P",IF(SUMPRODUCT((tl_target=$C78)*(tl_sub=J$4))&gt;0,"S",""))</f>
        <v/>
      </c>
      <c r="K78" s="53" t="str">
        <f aca="false">IF(SUMPRODUCT((tl_target=$C78)*(tl_sub=K$4)*(tl_align="Primary"))&gt;0,"P",IF(SUMPRODUCT((tl_target=$C78)*(tl_sub=K$4))&gt;0,"S",""))</f>
        <v/>
      </c>
      <c r="L78" s="53" t="str">
        <f aca="false">IF(SUMPRODUCT((tl_target=$C78)*(tl_sub=L$4)*(tl_align="Primary"))&gt;0,"P",IF(SUMPRODUCT((tl_target=$C78)*(tl_sub=L$4))&gt;0,"S",""))</f>
        <v/>
      </c>
      <c r="M78" s="53" t="str">
        <f aca="false">IF(SUMPRODUCT((tl_target=$C78)*(tl_sub=M$4)*(tl_align="Primary"))&gt;0,"P",IF(SUMPRODUCT((tl_target=$C78)*(tl_sub=M$4))&gt;0,"S",""))</f>
        <v/>
      </c>
      <c r="N78" s="53" t="str">
        <f aca="false">IF(SUMPRODUCT((tl_target=$C78)*(tl_sub=N$4)*(tl_align="Primary"))&gt;0,"P",IF(SUMPRODUCT((tl_target=$C78)*(tl_sub=N$4))&gt;0,"S",""))</f>
        <v/>
      </c>
      <c r="O78" s="53" t="str">
        <f aca="false">IF(SUMPRODUCT((tl_target=$C78)*(tl_sub=O$4)*(tl_align="Primary"))&gt;0,"P",IF(SUMPRODUCT((tl_target=$C78)*(tl_sub=O$4))&gt;0,"S",""))</f>
        <v/>
      </c>
      <c r="P78" s="53" t="str">
        <f aca="false">IF(SUMPRODUCT((tl_target=$C78)*(tl_sub=P$4)*(tl_align="Primary"))&gt;0,"P",IF(SUMPRODUCT((tl_target=$C78)*(tl_sub=P$4))&gt;0,"S",""))</f>
        <v/>
      </c>
      <c r="Q78" s="53" t="str">
        <f aca="false">IF(SUMPRODUCT((tl_target=$C78)*(tl_sub=Q$4)*(tl_align="Primary"))&gt;0,"P",IF(SUMPRODUCT((tl_target=$C78)*(tl_sub=Q$4))&gt;0,"S",""))</f>
        <v/>
      </c>
      <c r="R78" s="69" t="str">
        <f aca="false">_xlfn.TEXTJOIN(", ",TRUE(),IF(SUMPRODUCT((tl_target=$C78)*(tl_principle="PP1"))&gt;0,"PP1",""),IF(SUMPRODUCT((tl_target=$C78)*(tl_principle="PP2"))&gt;0,"PP2",""),IF(SUMPRODUCT((tl_target=$C78)*(tl_principle="PP3"))&gt;0,"PP3",""),IF(SUMPRODUCT((tl_target=$C78)*(tl_principle="PP4"))&gt;0,"PP4",""))</f>
        <v/>
      </c>
      <c r="S78" s="9" t="n">
        <f aca="false">SUMPRODUCT(--(tl_target=$C78))</f>
        <v>0</v>
      </c>
      <c r="T78" s="53" t="str">
        <f aca="false">IF(SUMPRODUCT((tl_target=$C78)*(tl_align="Primary"))&gt;0,"Primary link",IF(S78&gt;0,"Secondary only","Gap"))</f>
        <v>Gap</v>
      </c>
      <c r="U78" s="66"/>
      <c r="V78" s="66"/>
      <c r="W78" s="66"/>
      <c r="X78" s="66"/>
      <c r="Y78" s="66"/>
    </row>
    <row r="79" customFormat="false" ht="35.05" hidden="false" customHeight="false" outlineLevel="0" collapsed="false">
      <c r="A79" s="12" t="n">
        <v>9</v>
      </c>
      <c r="B79" s="5" t="s">
        <v>153</v>
      </c>
      <c r="C79" s="13" t="s">
        <v>732</v>
      </c>
      <c r="D79" s="5" t="s">
        <v>499</v>
      </c>
      <c r="E79" s="5"/>
      <c r="F79" s="5" t="s">
        <v>733</v>
      </c>
      <c r="G79" s="9" t="n">
        <v>2</v>
      </c>
      <c r="H79" s="53" t="str">
        <f aca="false">IF(SUMPRODUCT((tl_target=$C79)*(tl_sub=H$4)*(tl_align="Primary"))&gt;0,"P",IF(SUMPRODUCT((tl_target=$C79)*(tl_sub=H$4))&gt;0,"S",""))</f>
        <v/>
      </c>
      <c r="I79" s="53" t="str">
        <f aca="false">IF(SUMPRODUCT((tl_target=$C79)*(tl_sub=I$4)*(tl_align="Primary"))&gt;0,"P",IF(SUMPRODUCT((tl_target=$C79)*(tl_sub=I$4))&gt;0,"S",""))</f>
        <v/>
      </c>
      <c r="J79" s="53" t="str">
        <f aca="false">IF(SUMPRODUCT((tl_target=$C79)*(tl_sub=J$4)*(tl_align="Primary"))&gt;0,"P",IF(SUMPRODUCT((tl_target=$C79)*(tl_sub=J$4))&gt;0,"S",""))</f>
        <v/>
      </c>
      <c r="K79" s="53" t="str">
        <f aca="false">IF(SUMPRODUCT((tl_target=$C79)*(tl_sub=K$4)*(tl_align="Primary"))&gt;0,"P",IF(SUMPRODUCT((tl_target=$C79)*(tl_sub=K$4))&gt;0,"S",""))</f>
        <v/>
      </c>
      <c r="L79" s="53" t="str">
        <f aca="false">IF(SUMPRODUCT((tl_target=$C79)*(tl_sub=L$4)*(tl_align="Primary"))&gt;0,"P",IF(SUMPRODUCT((tl_target=$C79)*(tl_sub=L$4))&gt;0,"S",""))</f>
        <v/>
      </c>
      <c r="M79" s="53" t="str">
        <f aca="false">IF(SUMPRODUCT((tl_target=$C79)*(tl_sub=M$4)*(tl_align="Primary"))&gt;0,"P",IF(SUMPRODUCT((tl_target=$C79)*(tl_sub=M$4))&gt;0,"S",""))</f>
        <v/>
      </c>
      <c r="N79" s="53" t="str">
        <f aca="false">IF(SUMPRODUCT((tl_target=$C79)*(tl_sub=N$4)*(tl_align="Primary"))&gt;0,"P",IF(SUMPRODUCT((tl_target=$C79)*(tl_sub=N$4))&gt;0,"S",""))</f>
        <v/>
      </c>
      <c r="O79" s="53" t="str">
        <f aca="false">IF(SUMPRODUCT((tl_target=$C79)*(tl_sub=O$4)*(tl_align="Primary"))&gt;0,"P",IF(SUMPRODUCT((tl_target=$C79)*(tl_sub=O$4))&gt;0,"S",""))</f>
        <v/>
      </c>
      <c r="P79" s="53" t="str">
        <f aca="false">IF(SUMPRODUCT((tl_target=$C79)*(tl_sub=P$4)*(tl_align="Primary"))&gt;0,"P",IF(SUMPRODUCT((tl_target=$C79)*(tl_sub=P$4))&gt;0,"S",""))</f>
        <v/>
      </c>
      <c r="Q79" s="53" t="str">
        <f aca="false">IF(SUMPRODUCT((tl_target=$C79)*(tl_sub=Q$4)*(tl_align="Primary"))&gt;0,"P",IF(SUMPRODUCT((tl_target=$C79)*(tl_sub=Q$4))&gt;0,"S",""))</f>
        <v/>
      </c>
      <c r="R79" s="69" t="str">
        <f aca="false">_xlfn.TEXTJOIN(", ",TRUE(),IF(SUMPRODUCT((tl_target=$C79)*(tl_principle="PP1"))&gt;0,"PP1",""),IF(SUMPRODUCT((tl_target=$C79)*(tl_principle="PP2"))&gt;0,"PP2",""),IF(SUMPRODUCT((tl_target=$C79)*(tl_principle="PP3"))&gt;0,"PP3",""),IF(SUMPRODUCT((tl_target=$C79)*(tl_principle="PP4"))&gt;0,"PP4",""))</f>
        <v/>
      </c>
      <c r="S79" s="9" t="n">
        <f aca="false">SUMPRODUCT(--(tl_target=$C79))</f>
        <v>0</v>
      </c>
      <c r="T79" s="53" t="str">
        <f aca="false">IF(SUMPRODUCT((tl_target=$C79)*(tl_align="Primary"))&gt;0,"Primary link",IF(S79&gt;0,"Secondary only","Gap"))</f>
        <v>Gap</v>
      </c>
      <c r="U79" s="66"/>
      <c r="V79" s="66"/>
      <c r="W79" s="66"/>
      <c r="X79" s="66"/>
      <c r="Y79" s="66"/>
    </row>
    <row r="80" customFormat="false" ht="46.25" hidden="false" customHeight="false" outlineLevel="0" collapsed="false">
      <c r="A80" s="12" t="n">
        <v>9</v>
      </c>
      <c r="B80" s="5" t="s">
        <v>153</v>
      </c>
      <c r="C80" s="13" t="s">
        <v>159</v>
      </c>
      <c r="D80" s="5" t="s">
        <v>499</v>
      </c>
      <c r="E80" s="5" t="s">
        <v>160</v>
      </c>
      <c r="F80" s="5" t="s">
        <v>161</v>
      </c>
      <c r="G80" s="9" t="n">
        <v>1</v>
      </c>
      <c r="H80" s="53" t="str">
        <f aca="false">IF(SUMPRODUCT((tl_target=$C80)*(tl_sub=H$4)*(tl_align="Primary"))&gt;0,"P",IF(SUMPRODUCT((tl_target=$C80)*(tl_sub=H$4))&gt;0,"S",""))</f>
        <v>P</v>
      </c>
      <c r="I80" s="53" t="str">
        <f aca="false">IF(SUMPRODUCT((tl_target=$C80)*(tl_sub=I$4)*(tl_align="Primary"))&gt;0,"P",IF(SUMPRODUCT((tl_target=$C80)*(tl_sub=I$4))&gt;0,"S",""))</f>
        <v/>
      </c>
      <c r="J80" s="53" t="str">
        <f aca="false">IF(SUMPRODUCT((tl_target=$C80)*(tl_sub=J$4)*(tl_align="Primary"))&gt;0,"P",IF(SUMPRODUCT((tl_target=$C80)*(tl_sub=J$4))&gt;0,"S",""))</f>
        <v/>
      </c>
      <c r="K80" s="53" t="str">
        <f aca="false">IF(SUMPRODUCT((tl_target=$C80)*(tl_sub=K$4)*(tl_align="Primary"))&gt;0,"P",IF(SUMPRODUCT((tl_target=$C80)*(tl_sub=K$4))&gt;0,"S",""))</f>
        <v/>
      </c>
      <c r="L80" s="53" t="str">
        <f aca="false">IF(SUMPRODUCT((tl_target=$C80)*(tl_sub=L$4)*(tl_align="Primary"))&gt;0,"P",IF(SUMPRODUCT((tl_target=$C80)*(tl_sub=L$4))&gt;0,"S",""))</f>
        <v>S</v>
      </c>
      <c r="M80" s="53" t="str">
        <f aca="false">IF(SUMPRODUCT((tl_target=$C80)*(tl_sub=M$4)*(tl_align="Primary"))&gt;0,"P",IF(SUMPRODUCT((tl_target=$C80)*(tl_sub=M$4))&gt;0,"S",""))</f>
        <v/>
      </c>
      <c r="N80" s="53" t="str">
        <f aca="false">IF(SUMPRODUCT((tl_target=$C80)*(tl_sub=N$4)*(tl_align="Primary"))&gt;0,"P",IF(SUMPRODUCT((tl_target=$C80)*(tl_sub=N$4))&gt;0,"S",""))</f>
        <v/>
      </c>
      <c r="O80" s="53" t="str">
        <f aca="false">IF(SUMPRODUCT((tl_target=$C80)*(tl_sub=O$4)*(tl_align="Primary"))&gt;0,"P",IF(SUMPRODUCT((tl_target=$C80)*(tl_sub=O$4))&gt;0,"S",""))</f>
        <v/>
      </c>
      <c r="P80" s="53" t="str">
        <f aca="false">IF(SUMPRODUCT((tl_target=$C80)*(tl_sub=P$4)*(tl_align="Primary"))&gt;0,"P",IF(SUMPRODUCT((tl_target=$C80)*(tl_sub=P$4))&gt;0,"S",""))</f>
        <v/>
      </c>
      <c r="Q80" s="53" t="str">
        <f aca="false">IF(SUMPRODUCT((tl_target=$C80)*(tl_sub=Q$4)*(tl_align="Primary"))&gt;0,"P",IF(SUMPRODUCT((tl_target=$C80)*(tl_sub=Q$4))&gt;0,"S",""))</f>
        <v/>
      </c>
      <c r="R80" s="69" t="str">
        <f aca="false">_xlfn.TEXTJOIN(", ",TRUE(),IF(SUMPRODUCT((tl_target=$C80)*(tl_principle="PP1"))&gt;0,"PP1",""),IF(SUMPRODUCT((tl_target=$C80)*(tl_principle="PP2"))&gt;0,"PP2",""),IF(SUMPRODUCT((tl_target=$C80)*(tl_principle="PP3"))&gt;0,"PP3",""),IF(SUMPRODUCT((tl_target=$C80)*(tl_principle="PP4"))&gt;0,"PP4",""))</f>
        <v>PP1, PP2</v>
      </c>
      <c r="S80" s="9" t="n">
        <f aca="false">SUMPRODUCT(--(tl_target=$C80))</f>
        <v>2</v>
      </c>
      <c r="T80" s="53" t="str">
        <f aca="false">IF(SUMPRODUCT((tl_target=$C80)*(tl_align="Primary"))&gt;0,"Primary link",IF(S80&gt;0,"Secondary only","Gap"))</f>
        <v>Primary link</v>
      </c>
      <c r="U80" s="66"/>
      <c r="V80" s="66"/>
      <c r="W80" s="66"/>
      <c r="X80" s="66"/>
      <c r="Y80" s="66"/>
    </row>
    <row r="81" customFormat="false" ht="57.45" hidden="false" customHeight="false" outlineLevel="0" collapsed="false">
      <c r="A81" s="12" t="n">
        <v>9</v>
      </c>
      <c r="B81" s="5" t="s">
        <v>153</v>
      </c>
      <c r="C81" s="13" t="s">
        <v>163</v>
      </c>
      <c r="D81" s="5" t="s">
        <v>499</v>
      </c>
      <c r="E81" s="5" t="s">
        <v>164</v>
      </c>
      <c r="F81" s="5" t="s">
        <v>165</v>
      </c>
      <c r="G81" s="9" t="n">
        <v>2</v>
      </c>
      <c r="H81" s="53" t="str">
        <f aca="false">IF(SUMPRODUCT((tl_target=$C81)*(tl_sub=H$4)*(tl_align="Primary"))&gt;0,"P",IF(SUMPRODUCT((tl_target=$C81)*(tl_sub=H$4))&gt;0,"S",""))</f>
        <v>P</v>
      </c>
      <c r="I81" s="53" t="str">
        <f aca="false">IF(SUMPRODUCT((tl_target=$C81)*(tl_sub=I$4)*(tl_align="Primary"))&gt;0,"P",IF(SUMPRODUCT((tl_target=$C81)*(tl_sub=I$4))&gt;0,"S",""))</f>
        <v>P</v>
      </c>
      <c r="J81" s="53" t="str">
        <f aca="false">IF(SUMPRODUCT((tl_target=$C81)*(tl_sub=J$4)*(tl_align="Primary"))&gt;0,"P",IF(SUMPRODUCT((tl_target=$C81)*(tl_sub=J$4))&gt;0,"S",""))</f>
        <v/>
      </c>
      <c r="K81" s="53" t="str">
        <f aca="false">IF(SUMPRODUCT((tl_target=$C81)*(tl_sub=K$4)*(tl_align="Primary"))&gt;0,"P",IF(SUMPRODUCT((tl_target=$C81)*(tl_sub=K$4))&gt;0,"S",""))</f>
        <v/>
      </c>
      <c r="L81" s="53" t="str">
        <f aca="false">IF(SUMPRODUCT((tl_target=$C81)*(tl_sub=L$4)*(tl_align="Primary"))&gt;0,"P",IF(SUMPRODUCT((tl_target=$C81)*(tl_sub=L$4))&gt;0,"S",""))</f>
        <v/>
      </c>
      <c r="M81" s="53" t="str">
        <f aca="false">IF(SUMPRODUCT((tl_target=$C81)*(tl_sub=M$4)*(tl_align="Primary"))&gt;0,"P",IF(SUMPRODUCT((tl_target=$C81)*(tl_sub=M$4))&gt;0,"S",""))</f>
        <v/>
      </c>
      <c r="N81" s="53" t="str">
        <f aca="false">IF(SUMPRODUCT((tl_target=$C81)*(tl_sub=N$4)*(tl_align="Primary"))&gt;0,"P",IF(SUMPRODUCT((tl_target=$C81)*(tl_sub=N$4))&gt;0,"S",""))</f>
        <v/>
      </c>
      <c r="O81" s="53" t="str">
        <f aca="false">IF(SUMPRODUCT((tl_target=$C81)*(tl_sub=O$4)*(tl_align="Primary"))&gt;0,"P",IF(SUMPRODUCT((tl_target=$C81)*(tl_sub=O$4))&gt;0,"S",""))</f>
        <v/>
      </c>
      <c r="P81" s="53" t="str">
        <f aca="false">IF(SUMPRODUCT((tl_target=$C81)*(tl_sub=P$4)*(tl_align="Primary"))&gt;0,"P",IF(SUMPRODUCT((tl_target=$C81)*(tl_sub=P$4))&gt;0,"S",""))</f>
        <v/>
      </c>
      <c r="Q81" s="53" t="str">
        <f aca="false">IF(SUMPRODUCT((tl_target=$C81)*(tl_sub=Q$4)*(tl_align="Primary"))&gt;0,"P",IF(SUMPRODUCT((tl_target=$C81)*(tl_sub=Q$4))&gt;0,"S",""))</f>
        <v/>
      </c>
      <c r="R81" s="69" t="str">
        <f aca="false">_xlfn.TEXTJOIN(", ",TRUE(),IF(SUMPRODUCT((tl_target=$C81)*(tl_principle="PP1"))&gt;0,"PP1",""),IF(SUMPRODUCT((tl_target=$C81)*(tl_principle="PP2"))&gt;0,"PP2",""),IF(SUMPRODUCT((tl_target=$C81)*(tl_principle="PP3"))&gt;0,"PP3",""),IF(SUMPRODUCT((tl_target=$C81)*(tl_principle="PP4"))&gt;0,"PP4",""))</f>
        <v>PP1</v>
      </c>
      <c r="S81" s="9" t="n">
        <f aca="false">SUMPRODUCT(--(tl_target=$C81))</f>
        <v>2</v>
      </c>
      <c r="T81" s="53" t="str">
        <f aca="false">IF(SUMPRODUCT((tl_target=$C81)*(tl_align="Primary"))&gt;0,"Primary link",IF(S81&gt;0,"Secondary only","Gap"))</f>
        <v>Primary link</v>
      </c>
      <c r="U81" s="66"/>
      <c r="V81" s="66"/>
      <c r="W81" s="66"/>
      <c r="X81" s="66"/>
      <c r="Y81" s="66"/>
    </row>
    <row r="82" customFormat="false" ht="46.25" hidden="false" customHeight="false" outlineLevel="0" collapsed="false">
      <c r="A82" s="12" t="n">
        <v>9</v>
      </c>
      <c r="B82" s="5" t="s">
        <v>153</v>
      </c>
      <c r="C82" s="13" t="s">
        <v>734</v>
      </c>
      <c r="D82" s="5" t="s">
        <v>612</v>
      </c>
      <c r="E82" s="5"/>
      <c r="F82" s="5" t="s">
        <v>735</v>
      </c>
      <c r="G82" s="9" t="n">
        <v>1</v>
      </c>
      <c r="H82" s="53" t="str">
        <f aca="false">IF(SUMPRODUCT((tl_target=$C82)*(tl_sub=H$4)*(tl_align="Primary"))&gt;0,"P",IF(SUMPRODUCT((tl_target=$C82)*(tl_sub=H$4))&gt;0,"S",""))</f>
        <v/>
      </c>
      <c r="I82" s="53" t="str">
        <f aca="false">IF(SUMPRODUCT((tl_target=$C82)*(tl_sub=I$4)*(tl_align="Primary"))&gt;0,"P",IF(SUMPRODUCT((tl_target=$C82)*(tl_sub=I$4))&gt;0,"S",""))</f>
        <v/>
      </c>
      <c r="J82" s="53" t="str">
        <f aca="false">IF(SUMPRODUCT((tl_target=$C82)*(tl_sub=J$4)*(tl_align="Primary"))&gt;0,"P",IF(SUMPRODUCT((tl_target=$C82)*(tl_sub=J$4))&gt;0,"S",""))</f>
        <v/>
      </c>
      <c r="K82" s="53" t="str">
        <f aca="false">IF(SUMPRODUCT((tl_target=$C82)*(tl_sub=K$4)*(tl_align="Primary"))&gt;0,"P",IF(SUMPRODUCT((tl_target=$C82)*(tl_sub=K$4))&gt;0,"S",""))</f>
        <v/>
      </c>
      <c r="L82" s="53" t="str">
        <f aca="false">IF(SUMPRODUCT((tl_target=$C82)*(tl_sub=L$4)*(tl_align="Primary"))&gt;0,"P",IF(SUMPRODUCT((tl_target=$C82)*(tl_sub=L$4))&gt;0,"S",""))</f>
        <v/>
      </c>
      <c r="M82" s="53" t="str">
        <f aca="false">IF(SUMPRODUCT((tl_target=$C82)*(tl_sub=M$4)*(tl_align="Primary"))&gt;0,"P",IF(SUMPRODUCT((tl_target=$C82)*(tl_sub=M$4))&gt;0,"S",""))</f>
        <v/>
      </c>
      <c r="N82" s="53" t="str">
        <f aca="false">IF(SUMPRODUCT((tl_target=$C82)*(tl_sub=N$4)*(tl_align="Primary"))&gt;0,"P",IF(SUMPRODUCT((tl_target=$C82)*(tl_sub=N$4))&gt;0,"S",""))</f>
        <v/>
      </c>
      <c r="O82" s="53" t="str">
        <f aca="false">IF(SUMPRODUCT((tl_target=$C82)*(tl_sub=O$4)*(tl_align="Primary"))&gt;0,"P",IF(SUMPRODUCT((tl_target=$C82)*(tl_sub=O$4))&gt;0,"S",""))</f>
        <v/>
      </c>
      <c r="P82" s="53" t="str">
        <f aca="false">IF(SUMPRODUCT((tl_target=$C82)*(tl_sub=P$4)*(tl_align="Primary"))&gt;0,"P",IF(SUMPRODUCT((tl_target=$C82)*(tl_sub=P$4))&gt;0,"S",""))</f>
        <v/>
      </c>
      <c r="Q82" s="53" t="str">
        <f aca="false">IF(SUMPRODUCT((tl_target=$C82)*(tl_sub=Q$4)*(tl_align="Primary"))&gt;0,"P",IF(SUMPRODUCT((tl_target=$C82)*(tl_sub=Q$4))&gt;0,"S",""))</f>
        <v/>
      </c>
      <c r="R82" s="69" t="str">
        <f aca="false">_xlfn.TEXTJOIN(", ",TRUE(),IF(SUMPRODUCT((tl_target=$C82)*(tl_principle="PP1"))&gt;0,"PP1",""),IF(SUMPRODUCT((tl_target=$C82)*(tl_principle="PP2"))&gt;0,"PP2",""),IF(SUMPRODUCT((tl_target=$C82)*(tl_principle="PP3"))&gt;0,"PP3",""),IF(SUMPRODUCT((tl_target=$C82)*(tl_principle="PP4"))&gt;0,"PP4",""))</f>
        <v/>
      </c>
      <c r="S82" s="9" t="n">
        <f aca="false">SUMPRODUCT(--(tl_target=$C82))</f>
        <v>0</v>
      </c>
      <c r="T82" s="53" t="str">
        <f aca="false">IF(SUMPRODUCT((tl_target=$C82)*(tl_align="Primary"))&gt;0,"Primary link",IF(S82&gt;0,"Secondary only","Gap"))</f>
        <v>Gap</v>
      </c>
      <c r="U82" s="66"/>
      <c r="V82" s="66"/>
      <c r="W82" s="66"/>
      <c r="X82" s="66"/>
      <c r="Y82" s="66"/>
    </row>
    <row r="83" customFormat="false" ht="35.05" hidden="false" customHeight="false" outlineLevel="0" collapsed="false">
      <c r="A83" s="12" t="n">
        <v>9</v>
      </c>
      <c r="B83" s="5" t="s">
        <v>153</v>
      </c>
      <c r="C83" s="13" t="s">
        <v>736</v>
      </c>
      <c r="D83" s="5" t="s">
        <v>612</v>
      </c>
      <c r="E83" s="5"/>
      <c r="F83" s="5" t="s">
        <v>737</v>
      </c>
      <c r="G83" s="9" t="n">
        <v>1</v>
      </c>
      <c r="H83" s="53" t="str">
        <f aca="false">IF(SUMPRODUCT((tl_target=$C83)*(tl_sub=H$4)*(tl_align="Primary"))&gt;0,"P",IF(SUMPRODUCT((tl_target=$C83)*(tl_sub=H$4))&gt;0,"S",""))</f>
        <v/>
      </c>
      <c r="I83" s="53" t="str">
        <f aca="false">IF(SUMPRODUCT((tl_target=$C83)*(tl_sub=I$4)*(tl_align="Primary"))&gt;0,"P",IF(SUMPRODUCT((tl_target=$C83)*(tl_sub=I$4))&gt;0,"S",""))</f>
        <v/>
      </c>
      <c r="J83" s="53" t="str">
        <f aca="false">IF(SUMPRODUCT((tl_target=$C83)*(tl_sub=J$4)*(tl_align="Primary"))&gt;0,"P",IF(SUMPRODUCT((tl_target=$C83)*(tl_sub=J$4))&gt;0,"S",""))</f>
        <v/>
      </c>
      <c r="K83" s="53" t="str">
        <f aca="false">IF(SUMPRODUCT((tl_target=$C83)*(tl_sub=K$4)*(tl_align="Primary"))&gt;0,"P",IF(SUMPRODUCT((tl_target=$C83)*(tl_sub=K$4))&gt;0,"S",""))</f>
        <v/>
      </c>
      <c r="L83" s="53" t="str">
        <f aca="false">IF(SUMPRODUCT((tl_target=$C83)*(tl_sub=L$4)*(tl_align="Primary"))&gt;0,"P",IF(SUMPRODUCT((tl_target=$C83)*(tl_sub=L$4))&gt;0,"S",""))</f>
        <v/>
      </c>
      <c r="M83" s="53" t="str">
        <f aca="false">IF(SUMPRODUCT((tl_target=$C83)*(tl_sub=M$4)*(tl_align="Primary"))&gt;0,"P",IF(SUMPRODUCT((tl_target=$C83)*(tl_sub=M$4))&gt;0,"S",""))</f>
        <v/>
      </c>
      <c r="N83" s="53" t="str">
        <f aca="false">IF(SUMPRODUCT((tl_target=$C83)*(tl_sub=N$4)*(tl_align="Primary"))&gt;0,"P",IF(SUMPRODUCT((tl_target=$C83)*(tl_sub=N$4))&gt;0,"S",""))</f>
        <v/>
      </c>
      <c r="O83" s="53" t="str">
        <f aca="false">IF(SUMPRODUCT((tl_target=$C83)*(tl_sub=O$4)*(tl_align="Primary"))&gt;0,"P",IF(SUMPRODUCT((tl_target=$C83)*(tl_sub=O$4))&gt;0,"S",""))</f>
        <v/>
      </c>
      <c r="P83" s="53" t="str">
        <f aca="false">IF(SUMPRODUCT((tl_target=$C83)*(tl_sub=P$4)*(tl_align="Primary"))&gt;0,"P",IF(SUMPRODUCT((tl_target=$C83)*(tl_sub=P$4))&gt;0,"S",""))</f>
        <v/>
      </c>
      <c r="Q83" s="53" t="str">
        <f aca="false">IF(SUMPRODUCT((tl_target=$C83)*(tl_sub=Q$4)*(tl_align="Primary"))&gt;0,"P",IF(SUMPRODUCT((tl_target=$C83)*(tl_sub=Q$4))&gt;0,"S",""))</f>
        <v/>
      </c>
      <c r="R83" s="69" t="str">
        <f aca="false">_xlfn.TEXTJOIN(", ",TRUE(),IF(SUMPRODUCT((tl_target=$C83)*(tl_principle="PP1"))&gt;0,"PP1",""),IF(SUMPRODUCT((tl_target=$C83)*(tl_principle="PP2"))&gt;0,"PP2",""),IF(SUMPRODUCT((tl_target=$C83)*(tl_principle="PP3"))&gt;0,"PP3",""),IF(SUMPRODUCT((tl_target=$C83)*(tl_principle="PP4"))&gt;0,"PP4",""))</f>
        <v/>
      </c>
      <c r="S83" s="9" t="n">
        <f aca="false">SUMPRODUCT(--(tl_target=$C83))</f>
        <v>0</v>
      </c>
      <c r="T83" s="53" t="str">
        <f aca="false">IF(SUMPRODUCT((tl_target=$C83)*(tl_align="Primary"))&gt;0,"Primary link",IF(S83&gt;0,"Secondary only","Gap"))</f>
        <v>Gap</v>
      </c>
      <c r="U83" s="66"/>
      <c r="V83" s="66"/>
      <c r="W83" s="66"/>
      <c r="X83" s="66"/>
      <c r="Y83" s="66"/>
    </row>
    <row r="84" customFormat="false" ht="35.05" hidden="false" customHeight="false" outlineLevel="0" collapsed="false">
      <c r="A84" s="12" t="n">
        <v>9</v>
      </c>
      <c r="B84" s="5" t="s">
        <v>153</v>
      </c>
      <c r="C84" s="13" t="s">
        <v>187</v>
      </c>
      <c r="D84" s="5" t="s">
        <v>612</v>
      </c>
      <c r="E84" s="5" t="s">
        <v>188</v>
      </c>
      <c r="F84" s="5" t="s">
        <v>189</v>
      </c>
      <c r="G84" s="9" t="n">
        <v>1</v>
      </c>
      <c r="H84" s="53" t="str">
        <f aca="false">IF(SUMPRODUCT((tl_target=$C84)*(tl_sub=H$4)*(tl_align="Primary"))&gt;0,"P",IF(SUMPRODUCT((tl_target=$C84)*(tl_sub=H$4))&gt;0,"S",""))</f>
        <v/>
      </c>
      <c r="I84" s="53" t="str">
        <f aca="false">IF(SUMPRODUCT((tl_target=$C84)*(tl_sub=I$4)*(tl_align="Primary"))&gt;0,"P",IF(SUMPRODUCT((tl_target=$C84)*(tl_sub=I$4))&gt;0,"S",""))</f>
        <v>P</v>
      </c>
      <c r="J84" s="53" t="str">
        <f aca="false">IF(SUMPRODUCT((tl_target=$C84)*(tl_sub=J$4)*(tl_align="Primary"))&gt;0,"P",IF(SUMPRODUCT((tl_target=$C84)*(tl_sub=J$4))&gt;0,"S",""))</f>
        <v/>
      </c>
      <c r="K84" s="53" t="str">
        <f aca="false">IF(SUMPRODUCT((tl_target=$C84)*(tl_sub=K$4)*(tl_align="Primary"))&gt;0,"P",IF(SUMPRODUCT((tl_target=$C84)*(tl_sub=K$4))&gt;0,"S",""))</f>
        <v/>
      </c>
      <c r="L84" s="53" t="str">
        <f aca="false">IF(SUMPRODUCT((tl_target=$C84)*(tl_sub=L$4)*(tl_align="Primary"))&gt;0,"P",IF(SUMPRODUCT((tl_target=$C84)*(tl_sub=L$4))&gt;0,"S",""))</f>
        <v/>
      </c>
      <c r="M84" s="53" t="str">
        <f aca="false">IF(SUMPRODUCT((tl_target=$C84)*(tl_sub=M$4)*(tl_align="Primary"))&gt;0,"P",IF(SUMPRODUCT((tl_target=$C84)*(tl_sub=M$4))&gt;0,"S",""))</f>
        <v/>
      </c>
      <c r="N84" s="53" t="str">
        <f aca="false">IF(SUMPRODUCT((tl_target=$C84)*(tl_sub=N$4)*(tl_align="Primary"))&gt;0,"P",IF(SUMPRODUCT((tl_target=$C84)*(tl_sub=N$4))&gt;0,"S",""))</f>
        <v/>
      </c>
      <c r="O84" s="53" t="str">
        <f aca="false">IF(SUMPRODUCT((tl_target=$C84)*(tl_sub=O$4)*(tl_align="Primary"))&gt;0,"P",IF(SUMPRODUCT((tl_target=$C84)*(tl_sub=O$4))&gt;0,"S",""))</f>
        <v/>
      </c>
      <c r="P84" s="53" t="str">
        <f aca="false">IF(SUMPRODUCT((tl_target=$C84)*(tl_sub=P$4)*(tl_align="Primary"))&gt;0,"P",IF(SUMPRODUCT((tl_target=$C84)*(tl_sub=P$4))&gt;0,"S",""))</f>
        <v/>
      </c>
      <c r="Q84" s="53" t="str">
        <f aca="false">IF(SUMPRODUCT((tl_target=$C84)*(tl_sub=Q$4)*(tl_align="Primary"))&gt;0,"P",IF(SUMPRODUCT((tl_target=$C84)*(tl_sub=Q$4))&gt;0,"S",""))</f>
        <v/>
      </c>
      <c r="R84" s="69" t="str">
        <f aca="false">_xlfn.TEXTJOIN(", ",TRUE(),IF(SUMPRODUCT((tl_target=$C84)*(tl_principle="PP1"))&gt;0,"PP1",""),IF(SUMPRODUCT((tl_target=$C84)*(tl_principle="PP2"))&gt;0,"PP2",""),IF(SUMPRODUCT((tl_target=$C84)*(tl_principle="PP3"))&gt;0,"PP3",""),IF(SUMPRODUCT((tl_target=$C84)*(tl_principle="PP4"))&gt;0,"PP4",""))</f>
        <v>PP1</v>
      </c>
      <c r="S84" s="9" t="n">
        <f aca="false">SUMPRODUCT(--(tl_target=$C84))</f>
        <v>1</v>
      </c>
      <c r="T84" s="53" t="str">
        <f aca="false">IF(SUMPRODUCT((tl_target=$C84)*(tl_align="Primary"))&gt;0,"Primary link",IF(S84&gt;0,"Secondary only","Gap"))</f>
        <v>Primary link</v>
      </c>
      <c r="U84" s="66"/>
      <c r="V84" s="66"/>
      <c r="W84" s="66"/>
      <c r="X84" s="66"/>
      <c r="Y84" s="66"/>
    </row>
    <row r="85" customFormat="false" ht="23.85" hidden="false" customHeight="false" outlineLevel="0" collapsed="false">
      <c r="A85" s="24" t="n">
        <v>10</v>
      </c>
      <c r="B85" s="5" t="s">
        <v>310</v>
      </c>
      <c r="C85" s="13" t="s">
        <v>738</v>
      </c>
      <c r="D85" s="5" t="s">
        <v>499</v>
      </c>
      <c r="E85" s="5"/>
      <c r="F85" s="5" t="s">
        <v>739</v>
      </c>
      <c r="G85" s="9" t="n">
        <v>1</v>
      </c>
      <c r="H85" s="53" t="str">
        <f aca="false">IF(SUMPRODUCT((tl_target=$C85)*(tl_sub=H$4)*(tl_align="Primary"))&gt;0,"P",IF(SUMPRODUCT((tl_target=$C85)*(tl_sub=H$4))&gt;0,"S",""))</f>
        <v/>
      </c>
      <c r="I85" s="53" t="str">
        <f aca="false">IF(SUMPRODUCT((tl_target=$C85)*(tl_sub=I$4)*(tl_align="Primary"))&gt;0,"P",IF(SUMPRODUCT((tl_target=$C85)*(tl_sub=I$4))&gt;0,"S",""))</f>
        <v/>
      </c>
      <c r="J85" s="53" t="str">
        <f aca="false">IF(SUMPRODUCT((tl_target=$C85)*(tl_sub=J$4)*(tl_align="Primary"))&gt;0,"P",IF(SUMPRODUCT((tl_target=$C85)*(tl_sub=J$4))&gt;0,"S",""))</f>
        <v/>
      </c>
      <c r="K85" s="53" t="str">
        <f aca="false">IF(SUMPRODUCT((tl_target=$C85)*(tl_sub=K$4)*(tl_align="Primary"))&gt;0,"P",IF(SUMPRODUCT((tl_target=$C85)*(tl_sub=K$4))&gt;0,"S",""))</f>
        <v/>
      </c>
      <c r="L85" s="53" t="str">
        <f aca="false">IF(SUMPRODUCT((tl_target=$C85)*(tl_sub=L$4)*(tl_align="Primary"))&gt;0,"P",IF(SUMPRODUCT((tl_target=$C85)*(tl_sub=L$4))&gt;0,"S",""))</f>
        <v/>
      </c>
      <c r="M85" s="53" t="str">
        <f aca="false">IF(SUMPRODUCT((tl_target=$C85)*(tl_sub=M$4)*(tl_align="Primary"))&gt;0,"P",IF(SUMPRODUCT((tl_target=$C85)*(tl_sub=M$4))&gt;0,"S",""))</f>
        <v/>
      </c>
      <c r="N85" s="53" t="str">
        <f aca="false">IF(SUMPRODUCT((tl_target=$C85)*(tl_sub=N$4)*(tl_align="Primary"))&gt;0,"P",IF(SUMPRODUCT((tl_target=$C85)*(tl_sub=N$4))&gt;0,"S",""))</f>
        <v/>
      </c>
      <c r="O85" s="53" t="str">
        <f aca="false">IF(SUMPRODUCT((tl_target=$C85)*(tl_sub=O$4)*(tl_align="Primary"))&gt;0,"P",IF(SUMPRODUCT((tl_target=$C85)*(tl_sub=O$4))&gt;0,"S",""))</f>
        <v/>
      </c>
      <c r="P85" s="53" t="str">
        <f aca="false">IF(SUMPRODUCT((tl_target=$C85)*(tl_sub=P$4)*(tl_align="Primary"))&gt;0,"P",IF(SUMPRODUCT((tl_target=$C85)*(tl_sub=P$4))&gt;0,"S",""))</f>
        <v/>
      </c>
      <c r="Q85" s="53" t="str">
        <f aca="false">IF(SUMPRODUCT((tl_target=$C85)*(tl_sub=Q$4)*(tl_align="Primary"))&gt;0,"P",IF(SUMPRODUCT((tl_target=$C85)*(tl_sub=Q$4))&gt;0,"S",""))</f>
        <v/>
      </c>
      <c r="R85" s="69" t="str">
        <f aca="false">_xlfn.TEXTJOIN(", ",TRUE(),IF(SUMPRODUCT((tl_target=$C85)*(tl_principle="PP1"))&gt;0,"PP1",""),IF(SUMPRODUCT((tl_target=$C85)*(tl_principle="PP2"))&gt;0,"PP2",""),IF(SUMPRODUCT((tl_target=$C85)*(tl_principle="PP3"))&gt;0,"PP3",""),IF(SUMPRODUCT((tl_target=$C85)*(tl_principle="PP4"))&gt;0,"PP4",""))</f>
        <v/>
      </c>
      <c r="S85" s="9" t="n">
        <f aca="false">SUMPRODUCT(--(tl_target=$C85))</f>
        <v>0</v>
      </c>
      <c r="T85" s="53" t="str">
        <f aca="false">IF(SUMPRODUCT((tl_target=$C85)*(tl_align="Primary"))&gt;0,"Primary link",IF(S85&gt;0,"Secondary only","Gap"))</f>
        <v>Gap</v>
      </c>
      <c r="U85" s="66"/>
      <c r="V85" s="66"/>
      <c r="W85" s="66"/>
      <c r="X85" s="66"/>
      <c r="Y85" s="66"/>
    </row>
    <row r="86" customFormat="false" ht="35.05" hidden="false" customHeight="false" outlineLevel="0" collapsed="false">
      <c r="A86" s="24" t="n">
        <v>10</v>
      </c>
      <c r="B86" s="5" t="s">
        <v>310</v>
      </c>
      <c r="C86" s="13" t="s">
        <v>311</v>
      </c>
      <c r="D86" s="5" t="s">
        <v>499</v>
      </c>
      <c r="E86" s="5" t="s">
        <v>312</v>
      </c>
      <c r="F86" s="5" t="s">
        <v>313</v>
      </c>
      <c r="G86" s="9" t="n">
        <v>1</v>
      </c>
      <c r="H86" s="53" t="str">
        <f aca="false">IF(SUMPRODUCT((tl_target=$C86)*(tl_sub=H$4)*(tl_align="Primary"))&gt;0,"P",IF(SUMPRODUCT((tl_target=$C86)*(tl_sub=H$4))&gt;0,"S",""))</f>
        <v/>
      </c>
      <c r="I86" s="53" t="str">
        <f aca="false">IF(SUMPRODUCT((tl_target=$C86)*(tl_sub=I$4)*(tl_align="Primary"))&gt;0,"P",IF(SUMPRODUCT((tl_target=$C86)*(tl_sub=I$4))&gt;0,"S",""))</f>
        <v/>
      </c>
      <c r="J86" s="53" t="str">
        <f aca="false">IF(SUMPRODUCT((tl_target=$C86)*(tl_sub=J$4)*(tl_align="Primary"))&gt;0,"P",IF(SUMPRODUCT((tl_target=$C86)*(tl_sub=J$4))&gt;0,"S",""))</f>
        <v/>
      </c>
      <c r="K86" s="53" t="str">
        <f aca="false">IF(SUMPRODUCT((tl_target=$C86)*(tl_sub=K$4)*(tl_align="Primary"))&gt;0,"P",IF(SUMPRODUCT((tl_target=$C86)*(tl_sub=K$4))&gt;0,"S",""))</f>
        <v/>
      </c>
      <c r="L86" s="53" t="str">
        <f aca="false">IF(SUMPRODUCT((tl_target=$C86)*(tl_sub=L$4)*(tl_align="Primary"))&gt;0,"P",IF(SUMPRODUCT((tl_target=$C86)*(tl_sub=L$4))&gt;0,"S",""))</f>
        <v/>
      </c>
      <c r="M86" s="53" t="str">
        <f aca="false">IF(SUMPRODUCT((tl_target=$C86)*(tl_sub=M$4)*(tl_align="Primary"))&gt;0,"P",IF(SUMPRODUCT((tl_target=$C86)*(tl_sub=M$4))&gt;0,"S",""))</f>
        <v>S</v>
      </c>
      <c r="N86" s="53" t="str">
        <f aca="false">IF(SUMPRODUCT((tl_target=$C86)*(tl_sub=N$4)*(tl_align="Primary"))&gt;0,"P",IF(SUMPRODUCT((tl_target=$C86)*(tl_sub=N$4))&gt;0,"S",""))</f>
        <v>P</v>
      </c>
      <c r="O86" s="53" t="str">
        <f aca="false">IF(SUMPRODUCT((tl_target=$C86)*(tl_sub=O$4)*(tl_align="Primary"))&gt;0,"P",IF(SUMPRODUCT((tl_target=$C86)*(tl_sub=O$4))&gt;0,"S",""))</f>
        <v>S</v>
      </c>
      <c r="P86" s="53" t="str">
        <f aca="false">IF(SUMPRODUCT((tl_target=$C86)*(tl_sub=P$4)*(tl_align="Primary"))&gt;0,"P",IF(SUMPRODUCT((tl_target=$C86)*(tl_sub=P$4))&gt;0,"S",""))</f>
        <v/>
      </c>
      <c r="Q86" s="53" t="str">
        <f aca="false">IF(SUMPRODUCT((tl_target=$C86)*(tl_sub=Q$4)*(tl_align="Primary"))&gt;0,"P",IF(SUMPRODUCT((tl_target=$C86)*(tl_sub=Q$4))&gt;0,"S",""))</f>
        <v>S</v>
      </c>
      <c r="R86" s="69" t="str">
        <f aca="false">_xlfn.TEXTJOIN(", ",TRUE(),IF(SUMPRODUCT((tl_target=$C86)*(tl_principle="PP1"))&gt;0,"PP1",""),IF(SUMPRODUCT((tl_target=$C86)*(tl_principle="PP2"))&gt;0,"PP2",""),IF(SUMPRODUCT((tl_target=$C86)*(tl_principle="PP3"))&gt;0,"PP3",""),IF(SUMPRODUCT((tl_target=$C86)*(tl_principle="PP4"))&gt;0,"PP4",""))</f>
        <v>PP3, PP4</v>
      </c>
      <c r="S86" s="9" t="n">
        <f aca="false">SUMPRODUCT(--(tl_target=$C86))</f>
        <v>4</v>
      </c>
      <c r="T86" s="53" t="str">
        <f aca="false">IF(SUMPRODUCT((tl_target=$C86)*(tl_align="Primary"))&gt;0,"Primary link",IF(S86&gt;0,"Secondary only","Gap"))</f>
        <v>Primary link</v>
      </c>
      <c r="U86" s="66"/>
      <c r="V86" s="66"/>
      <c r="W86" s="66"/>
      <c r="X86" s="66"/>
      <c r="Y86" s="66"/>
    </row>
    <row r="87" customFormat="false" ht="35.05" hidden="false" customHeight="false" outlineLevel="0" collapsed="false">
      <c r="A87" s="24" t="n">
        <v>10</v>
      </c>
      <c r="B87" s="5" t="s">
        <v>310</v>
      </c>
      <c r="C87" s="13" t="s">
        <v>740</v>
      </c>
      <c r="D87" s="5" t="s">
        <v>499</v>
      </c>
      <c r="E87" s="5"/>
      <c r="F87" s="5" t="s">
        <v>741</v>
      </c>
      <c r="G87" s="9" t="n">
        <v>1</v>
      </c>
      <c r="H87" s="53" t="str">
        <f aca="false">IF(SUMPRODUCT((tl_target=$C87)*(tl_sub=H$4)*(tl_align="Primary"))&gt;0,"P",IF(SUMPRODUCT((tl_target=$C87)*(tl_sub=H$4))&gt;0,"S",""))</f>
        <v/>
      </c>
      <c r="I87" s="53" t="str">
        <f aca="false">IF(SUMPRODUCT((tl_target=$C87)*(tl_sub=I$4)*(tl_align="Primary"))&gt;0,"P",IF(SUMPRODUCT((tl_target=$C87)*(tl_sub=I$4))&gt;0,"S",""))</f>
        <v/>
      </c>
      <c r="J87" s="53" t="str">
        <f aca="false">IF(SUMPRODUCT((tl_target=$C87)*(tl_sub=J$4)*(tl_align="Primary"))&gt;0,"P",IF(SUMPRODUCT((tl_target=$C87)*(tl_sub=J$4))&gt;0,"S",""))</f>
        <v/>
      </c>
      <c r="K87" s="53" t="str">
        <f aca="false">IF(SUMPRODUCT((tl_target=$C87)*(tl_sub=K$4)*(tl_align="Primary"))&gt;0,"P",IF(SUMPRODUCT((tl_target=$C87)*(tl_sub=K$4))&gt;0,"S",""))</f>
        <v/>
      </c>
      <c r="L87" s="53" t="str">
        <f aca="false">IF(SUMPRODUCT((tl_target=$C87)*(tl_sub=L$4)*(tl_align="Primary"))&gt;0,"P",IF(SUMPRODUCT((tl_target=$C87)*(tl_sub=L$4))&gt;0,"S",""))</f>
        <v/>
      </c>
      <c r="M87" s="53" t="str">
        <f aca="false">IF(SUMPRODUCT((tl_target=$C87)*(tl_sub=M$4)*(tl_align="Primary"))&gt;0,"P",IF(SUMPRODUCT((tl_target=$C87)*(tl_sub=M$4))&gt;0,"S",""))</f>
        <v/>
      </c>
      <c r="N87" s="53" t="str">
        <f aca="false">IF(SUMPRODUCT((tl_target=$C87)*(tl_sub=N$4)*(tl_align="Primary"))&gt;0,"P",IF(SUMPRODUCT((tl_target=$C87)*(tl_sub=N$4))&gt;0,"S",""))</f>
        <v/>
      </c>
      <c r="O87" s="53" t="str">
        <f aca="false">IF(SUMPRODUCT((tl_target=$C87)*(tl_sub=O$4)*(tl_align="Primary"))&gt;0,"P",IF(SUMPRODUCT((tl_target=$C87)*(tl_sub=O$4))&gt;0,"S",""))</f>
        <v/>
      </c>
      <c r="P87" s="53" t="str">
        <f aca="false">IF(SUMPRODUCT((tl_target=$C87)*(tl_sub=P$4)*(tl_align="Primary"))&gt;0,"P",IF(SUMPRODUCT((tl_target=$C87)*(tl_sub=P$4))&gt;0,"S",""))</f>
        <v/>
      </c>
      <c r="Q87" s="53" t="str">
        <f aca="false">IF(SUMPRODUCT((tl_target=$C87)*(tl_sub=Q$4)*(tl_align="Primary"))&gt;0,"P",IF(SUMPRODUCT((tl_target=$C87)*(tl_sub=Q$4))&gt;0,"S",""))</f>
        <v/>
      </c>
      <c r="R87" s="69" t="str">
        <f aca="false">_xlfn.TEXTJOIN(", ",TRUE(),IF(SUMPRODUCT((tl_target=$C87)*(tl_principle="PP1"))&gt;0,"PP1",""),IF(SUMPRODUCT((tl_target=$C87)*(tl_principle="PP2"))&gt;0,"PP2",""),IF(SUMPRODUCT((tl_target=$C87)*(tl_principle="PP3"))&gt;0,"PP3",""),IF(SUMPRODUCT((tl_target=$C87)*(tl_principle="PP4"))&gt;0,"PP4",""))</f>
        <v/>
      </c>
      <c r="S87" s="9" t="n">
        <f aca="false">SUMPRODUCT(--(tl_target=$C87))</f>
        <v>0</v>
      </c>
      <c r="T87" s="53" t="str">
        <f aca="false">IF(SUMPRODUCT((tl_target=$C87)*(tl_align="Primary"))&gt;0,"Primary link",IF(S87&gt;0,"Secondary only","Gap"))</f>
        <v>Gap</v>
      </c>
      <c r="U87" s="66"/>
      <c r="V87" s="66"/>
      <c r="W87" s="66"/>
      <c r="X87" s="66"/>
      <c r="Y87" s="66"/>
    </row>
    <row r="88" customFormat="false" ht="23.85" hidden="false" customHeight="false" outlineLevel="0" collapsed="false">
      <c r="A88" s="24" t="n">
        <v>10</v>
      </c>
      <c r="B88" s="5" t="s">
        <v>310</v>
      </c>
      <c r="C88" s="13" t="s">
        <v>742</v>
      </c>
      <c r="D88" s="5" t="s">
        <v>499</v>
      </c>
      <c r="E88" s="5"/>
      <c r="F88" s="5" t="s">
        <v>743</v>
      </c>
      <c r="G88" s="9" t="n">
        <v>2</v>
      </c>
      <c r="H88" s="53" t="str">
        <f aca="false">IF(SUMPRODUCT((tl_target=$C88)*(tl_sub=H$4)*(tl_align="Primary"))&gt;0,"P",IF(SUMPRODUCT((tl_target=$C88)*(tl_sub=H$4))&gt;0,"S",""))</f>
        <v/>
      </c>
      <c r="I88" s="53" t="str">
        <f aca="false">IF(SUMPRODUCT((tl_target=$C88)*(tl_sub=I$4)*(tl_align="Primary"))&gt;0,"P",IF(SUMPRODUCT((tl_target=$C88)*(tl_sub=I$4))&gt;0,"S",""))</f>
        <v/>
      </c>
      <c r="J88" s="53" t="str">
        <f aca="false">IF(SUMPRODUCT((tl_target=$C88)*(tl_sub=J$4)*(tl_align="Primary"))&gt;0,"P",IF(SUMPRODUCT((tl_target=$C88)*(tl_sub=J$4))&gt;0,"S",""))</f>
        <v/>
      </c>
      <c r="K88" s="53" t="str">
        <f aca="false">IF(SUMPRODUCT((tl_target=$C88)*(tl_sub=K$4)*(tl_align="Primary"))&gt;0,"P",IF(SUMPRODUCT((tl_target=$C88)*(tl_sub=K$4))&gt;0,"S",""))</f>
        <v/>
      </c>
      <c r="L88" s="53" t="str">
        <f aca="false">IF(SUMPRODUCT((tl_target=$C88)*(tl_sub=L$4)*(tl_align="Primary"))&gt;0,"P",IF(SUMPRODUCT((tl_target=$C88)*(tl_sub=L$4))&gt;0,"S",""))</f>
        <v/>
      </c>
      <c r="M88" s="53" t="str">
        <f aca="false">IF(SUMPRODUCT((tl_target=$C88)*(tl_sub=M$4)*(tl_align="Primary"))&gt;0,"P",IF(SUMPRODUCT((tl_target=$C88)*(tl_sub=M$4))&gt;0,"S",""))</f>
        <v/>
      </c>
      <c r="N88" s="53" t="str">
        <f aca="false">IF(SUMPRODUCT((tl_target=$C88)*(tl_sub=N$4)*(tl_align="Primary"))&gt;0,"P",IF(SUMPRODUCT((tl_target=$C88)*(tl_sub=N$4))&gt;0,"S",""))</f>
        <v/>
      </c>
      <c r="O88" s="53" t="str">
        <f aca="false">IF(SUMPRODUCT((tl_target=$C88)*(tl_sub=O$4)*(tl_align="Primary"))&gt;0,"P",IF(SUMPRODUCT((tl_target=$C88)*(tl_sub=O$4))&gt;0,"S",""))</f>
        <v/>
      </c>
      <c r="P88" s="53" t="str">
        <f aca="false">IF(SUMPRODUCT((tl_target=$C88)*(tl_sub=P$4)*(tl_align="Primary"))&gt;0,"P",IF(SUMPRODUCT((tl_target=$C88)*(tl_sub=P$4))&gt;0,"S",""))</f>
        <v/>
      </c>
      <c r="Q88" s="53" t="str">
        <f aca="false">IF(SUMPRODUCT((tl_target=$C88)*(tl_sub=Q$4)*(tl_align="Primary"))&gt;0,"P",IF(SUMPRODUCT((tl_target=$C88)*(tl_sub=Q$4))&gt;0,"S",""))</f>
        <v/>
      </c>
      <c r="R88" s="69" t="str">
        <f aca="false">_xlfn.TEXTJOIN(", ",TRUE(),IF(SUMPRODUCT((tl_target=$C88)*(tl_principle="PP1"))&gt;0,"PP1",""),IF(SUMPRODUCT((tl_target=$C88)*(tl_principle="PP2"))&gt;0,"PP2",""),IF(SUMPRODUCT((tl_target=$C88)*(tl_principle="PP3"))&gt;0,"PP3",""),IF(SUMPRODUCT((tl_target=$C88)*(tl_principle="PP4"))&gt;0,"PP4",""))</f>
        <v/>
      </c>
      <c r="S88" s="9" t="n">
        <f aca="false">SUMPRODUCT(--(tl_target=$C88))</f>
        <v>0</v>
      </c>
      <c r="T88" s="53" t="str">
        <f aca="false">IF(SUMPRODUCT((tl_target=$C88)*(tl_align="Primary"))&gt;0,"Primary link",IF(S88&gt;0,"Secondary only","Gap"))</f>
        <v>Gap</v>
      </c>
      <c r="U88" s="66"/>
      <c r="V88" s="66"/>
      <c r="W88" s="66"/>
      <c r="X88" s="66"/>
      <c r="Y88" s="66"/>
    </row>
    <row r="89" customFormat="false" ht="23.85" hidden="false" customHeight="false" outlineLevel="0" collapsed="false">
      <c r="A89" s="24" t="n">
        <v>10</v>
      </c>
      <c r="B89" s="5" t="s">
        <v>310</v>
      </c>
      <c r="C89" s="13" t="s">
        <v>744</v>
      </c>
      <c r="D89" s="5" t="s">
        <v>499</v>
      </c>
      <c r="E89" s="5"/>
      <c r="F89" s="5" t="s">
        <v>745</v>
      </c>
      <c r="G89" s="9" t="n">
        <v>1</v>
      </c>
      <c r="H89" s="53" t="str">
        <f aca="false">IF(SUMPRODUCT((tl_target=$C89)*(tl_sub=H$4)*(tl_align="Primary"))&gt;0,"P",IF(SUMPRODUCT((tl_target=$C89)*(tl_sub=H$4))&gt;0,"S",""))</f>
        <v/>
      </c>
      <c r="I89" s="53" t="str">
        <f aca="false">IF(SUMPRODUCT((tl_target=$C89)*(tl_sub=I$4)*(tl_align="Primary"))&gt;0,"P",IF(SUMPRODUCT((tl_target=$C89)*(tl_sub=I$4))&gt;0,"S",""))</f>
        <v/>
      </c>
      <c r="J89" s="53" t="str">
        <f aca="false">IF(SUMPRODUCT((tl_target=$C89)*(tl_sub=J$4)*(tl_align="Primary"))&gt;0,"P",IF(SUMPRODUCT((tl_target=$C89)*(tl_sub=J$4))&gt;0,"S",""))</f>
        <v/>
      </c>
      <c r="K89" s="53" t="str">
        <f aca="false">IF(SUMPRODUCT((tl_target=$C89)*(tl_sub=K$4)*(tl_align="Primary"))&gt;0,"P",IF(SUMPRODUCT((tl_target=$C89)*(tl_sub=K$4))&gt;0,"S",""))</f>
        <v/>
      </c>
      <c r="L89" s="53" t="str">
        <f aca="false">IF(SUMPRODUCT((tl_target=$C89)*(tl_sub=L$4)*(tl_align="Primary"))&gt;0,"P",IF(SUMPRODUCT((tl_target=$C89)*(tl_sub=L$4))&gt;0,"S",""))</f>
        <v/>
      </c>
      <c r="M89" s="53" t="str">
        <f aca="false">IF(SUMPRODUCT((tl_target=$C89)*(tl_sub=M$4)*(tl_align="Primary"))&gt;0,"P",IF(SUMPRODUCT((tl_target=$C89)*(tl_sub=M$4))&gt;0,"S",""))</f>
        <v/>
      </c>
      <c r="N89" s="53" t="str">
        <f aca="false">IF(SUMPRODUCT((tl_target=$C89)*(tl_sub=N$4)*(tl_align="Primary"))&gt;0,"P",IF(SUMPRODUCT((tl_target=$C89)*(tl_sub=N$4))&gt;0,"S",""))</f>
        <v/>
      </c>
      <c r="O89" s="53" t="str">
        <f aca="false">IF(SUMPRODUCT((tl_target=$C89)*(tl_sub=O$4)*(tl_align="Primary"))&gt;0,"P",IF(SUMPRODUCT((tl_target=$C89)*(tl_sub=O$4))&gt;0,"S",""))</f>
        <v/>
      </c>
      <c r="P89" s="53" t="str">
        <f aca="false">IF(SUMPRODUCT((tl_target=$C89)*(tl_sub=P$4)*(tl_align="Primary"))&gt;0,"P",IF(SUMPRODUCT((tl_target=$C89)*(tl_sub=P$4))&gt;0,"S",""))</f>
        <v/>
      </c>
      <c r="Q89" s="53" t="str">
        <f aca="false">IF(SUMPRODUCT((tl_target=$C89)*(tl_sub=Q$4)*(tl_align="Primary"))&gt;0,"P",IF(SUMPRODUCT((tl_target=$C89)*(tl_sub=Q$4))&gt;0,"S",""))</f>
        <v/>
      </c>
      <c r="R89" s="69" t="str">
        <f aca="false">_xlfn.TEXTJOIN(", ",TRUE(),IF(SUMPRODUCT((tl_target=$C89)*(tl_principle="PP1"))&gt;0,"PP1",""),IF(SUMPRODUCT((tl_target=$C89)*(tl_principle="PP2"))&gt;0,"PP2",""),IF(SUMPRODUCT((tl_target=$C89)*(tl_principle="PP3"))&gt;0,"PP3",""),IF(SUMPRODUCT((tl_target=$C89)*(tl_principle="PP4"))&gt;0,"PP4",""))</f>
        <v/>
      </c>
      <c r="S89" s="9" t="n">
        <f aca="false">SUMPRODUCT(--(tl_target=$C89))</f>
        <v>0</v>
      </c>
      <c r="T89" s="53" t="str">
        <f aca="false">IF(SUMPRODUCT((tl_target=$C89)*(tl_align="Primary"))&gt;0,"Primary link",IF(S89&gt;0,"Secondary only","Gap"))</f>
        <v>Gap</v>
      </c>
      <c r="U89" s="66"/>
      <c r="V89" s="66"/>
      <c r="W89" s="66"/>
      <c r="X89" s="66"/>
      <c r="Y89" s="66"/>
    </row>
    <row r="90" customFormat="false" ht="35.05" hidden="false" customHeight="false" outlineLevel="0" collapsed="false">
      <c r="A90" s="24" t="n">
        <v>10</v>
      </c>
      <c r="B90" s="5" t="s">
        <v>310</v>
      </c>
      <c r="C90" s="13" t="s">
        <v>746</v>
      </c>
      <c r="D90" s="5" t="s">
        <v>499</v>
      </c>
      <c r="E90" s="5"/>
      <c r="F90" s="5" t="s">
        <v>747</v>
      </c>
      <c r="G90" s="9" t="n">
        <v>1</v>
      </c>
      <c r="H90" s="53" t="str">
        <f aca="false">IF(SUMPRODUCT((tl_target=$C90)*(tl_sub=H$4)*(tl_align="Primary"))&gt;0,"P",IF(SUMPRODUCT((tl_target=$C90)*(tl_sub=H$4))&gt;0,"S",""))</f>
        <v/>
      </c>
      <c r="I90" s="53" t="str">
        <f aca="false">IF(SUMPRODUCT((tl_target=$C90)*(tl_sub=I$4)*(tl_align="Primary"))&gt;0,"P",IF(SUMPRODUCT((tl_target=$C90)*(tl_sub=I$4))&gt;0,"S",""))</f>
        <v/>
      </c>
      <c r="J90" s="53" t="str">
        <f aca="false">IF(SUMPRODUCT((tl_target=$C90)*(tl_sub=J$4)*(tl_align="Primary"))&gt;0,"P",IF(SUMPRODUCT((tl_target=$C90)*(tl_sub=J$4))&gt;0,"S",""))</f>
        <v/>
      </c>
      <c r="K90" s="53" t="str">
        <f aca="false">IF(SUMPRODUCT((tl_target=$C90)*(tl_sub=K$4)*(tl_align="Primary"))&gt;0,"P",IF(SUMPRODUCT((tl_target=$C90)*(tl_sub=K$4))&gt;0,"S",""))</f>
        <v/>
      </c>
      <c r="L90" s="53" t="str">
        <f aca="false">IF(SUMPRODUCT((tl_target=$C90)*(tl_sub=L$4)*(tl_align="Primary"))&gt;0,"P",IF(SUMPRODUCT((tl_target=$C90)*(tl_sub=L$4))&gt;0,"S",""))</f>
        <v/>
      </c>
      <c r="M90" s="53" t="str">
        <f aca="false">IF(SUMPRODUCT((tl_target=$C90)*(tl_sub=M$4)*(tl_align="Primary"))&gt;0,"P",IF(SUMPRODUCT((tl_target=$C90)*(tl_sub=M$4))&gt;0,"S",""))</f>
        <v/>
      </c>
      <c r="N90" s="53" t="str">
        <f aca="false">IF(SUMPRODUCT((tl_target=$C90)*(tl_sub=N$4)*(tl_align="Primary"))&gt;0,"P",IF(SUMPRODUCT((tl_target=$C90)*(tl_sub=N$4))&gt;0,"S",""))</f>
        <v/>
      </c>
      <c r="O90" s="53" t="str">
        <f aca="false">IF(SUMPRODUCT((tl_target=$C90)*(tl_sub=O$4)*(tl_align="Primary"))&gt;0,"P",IF(SUMPRODUCT((tl_target=$C90)*(tl_sub=O$4))&gt;0,"S",""))</f>
        <v/>
      </c>
      <c r="P90" s="53" t="str">
        <f aca="false">IF(SUMPRODUCT((tl_target=$C90)*(tl_sub=P$4)*(tl_align="Primary"))&gt;0,"P",IF(SUMPRODUCT((tl_target=$C90)*(tl_sub=P$4))&gt;0,"S",""))</f>
        <v/>
      </c>
      <c r="Q90" s="53" t="str">
        <f aca="false">IF(SUMPRODUCT((tl_target=$C90)*(tl_sub=Q$4)*(tl_align="Primary"))&gt;0,"P",IF(SUMPRODUCT((tl_target=$C90)*(tl_sub=Q$4))&gt;0,"S",""))</f>
        <v/>
      </c>
      <c r="R90" s="69" t="str">
        <f aca="false">_xlfn.TEXTJOIN(", ",TRUE(),IF(SUMPRODUCT((tl_target=$C90)*(tl_principle="PP1"))&gt;0,"PP1",""),IF(SUMPRODUCT((tl_target=$C90)*(tl_principle="PP2"))&gt;0,"PP2",""),IF(SUMPRODUCT((tl_target=$C90)*(tl_principle="PP3"))&gt;0,"PP3",""),IF(SUMPRODUCT((tl_target=$C90)*(tl_principle="PP4"))&gt;0,"PP4",""))</f>
        <v/>
      </c>
      <c r="S90" s="9" t="n">
        <f aca="false">SUMPRODUCT(--(tl_target=$C90))</f>
        <v>0</v>
      </c>
      <c r="T90" s="53" t="str">
        <f aca="false">IF(SUMPRODUCT((tl_target=$C90)*(tl_align="Primary"))&gt;0,"Primary link",IF(S90&gt;0,"Secondary only","Gap"))</f>
        <v>Gap</v>
      </c>
      <c r="U90" s="66"/>
      <c r="V90" s="66"/>
      <c r="W90" s="66"/>
      <c r="X90" s="66"/>
      <c r="Y90" s="66"/>
    </row>
    <row r="91" customFormat="false" ht="35.05" hidden="false" customHeight="false" outlineLevel="0" collapsed="false">
      <c r="A91" s="24" t="n">
        <v>10</v>
      </c>
      <c r="B91" s="5" t="s">
        <v>310</v>
      </c>
      <c r="C91" s="13" t="s">
        <v>748</v>
      </c>
      <c r="D91" s="5" t="s">
        <v>499</v>
      </c>
      <c r="E91" s="5"/>
      <c r="F91" s="5" t="s">
        <v>749</v>
      </c>
      <c r="G91" s="9" t="n">
        <v>4</v>
      </c>
      <c r="H91" s="53" t="str">
        <f aca="false">IF(SUMPRODUCT((tl_target=$C91)*(tl_sub=H$4)*(tl_align="Primary"))&gt;0,"P",IF(SUMPRODUCT((tl_target=$C91)*(tl_sub=H$4))&gt;0,"S",""))</f>
        <v/>
      </c>
      <c r="I91" s="53" t="str">
        <f aca="false">IF(SUMPRODUCT((tl_target=$C91)*(tl_sub=I$4)*(tl_align="Primary"))&gt;0,"P",IF(SUMPRODUCT((tl_target=$C91)*(tl_sub=I$4))&gt;0,"S",""))</f>
        <v/>
      </c>
      <c r="J91" s="53" t="str">
        <f aca="false">IF(SUMPRODUCT((tl_target=$C91)*(tl_sub=J$4)*(tl_align="Primary"))&gt;0,"P",IF(SUMPRODUCT((tl_target=$C91)*(tl_sub=J$4))&gt;0,"S",""))</f>
        <v/>
      </c>
      <c r="K91" s="53" t="str">
        <f aca="false">IF(SUMPRODUCT((tl_target=$C91)*(tl_sub=K$4)*(tl_align="Primary"))&gt;0,"P",IF(SUMPRODUCT((tl_target=$C91)*(tl_sub=K$4))&gt;0,"S",""))</f>
        <v/>
      </c>
      <c r="L91" s="53" t="str">
        <f aca="false">IF(SUMPRODUCT((tl_target=$C91)*(tl_sub=L$4)*(tl_align="Primary"))&gt;0,"P",IF(SUMPRODUCT((tl_target=$C91)*(tl_sub=L$4))&gt;0,"S",""))</f>
        <v/>
      </c>
      <c r="M91" s="53" t="str">
        <f aca="false">IF(SUMPRODUCT((tl_target=$C91)*(tl_sub=M$4)*(tl_align="Primary"))&gt;0,"P",IF(SUMPRODUCT((tl_target=$C91)*(tl_sub=M$4))&gt;0,"S",""))</f>
        <v/>
      </c>
      <c r="N91" s="53" t="str">
        <f aca="false">IF(SUMPRODUCT((tl_target=$C91)*(tl_sub=N$4)*(tl_align="Primary"))&gt;0,"P",IF(SUMPRODUCT((tl_target=$C91)*(tl_sub=N$4))&gt;0,"S",""))</f>
        <v/>
      </c>
      <c r="O91" s="53" t="str">
        <f aca="false">IF(SUMPRODUCT((tl_target=$C91)*(tl_sub=O$4)*(tl_align="Primary"))&gt;0,"P",IF(SUMPRODUCT((tl_target=$C91)*(tl_sub=O$4))&gt;0,"S",""))</f>
        <v/>
      </c>
      <c r="P91" s="53" t="str">
        <f aca="false">IF(SUMPRODUCT((tl_target=$C91)*(tl_sub=P$4)*(tl_align="Primary"))&gt;0,"P",IF(SUMPRODUCT((tl_target=$C91)*(tl_sub=P$4))&gt;0,"S",""))</f>
        <v/>
      </c>
      <c r="Q91" s="53" t="str">
        <f aca="false">IF(SUMPRODUCT((tl_target=$C91)*(tl_sub=Q$4)*(tl_align="Primary"))&gt;0,"P",IF(SUMPRODUCT((tl_target=$C91)*(tl_sub=Q$4))&gt;0,"S",""))</f>
        <v/>
      </c>
      <c r="R91" s="69" t="str">
        <f aca="false">_xlfn.TEXTJOIN(", ",TRUE(),IF(SUMPRODUCT((tl_target=$C91)*(tl_principle="PP1"))&gt;0,"PP1",""),IF(SUMPRODUCT((tl_target=$C91)*(tl_principle="PP2"))&gt;0,"PP2",""),IF(SUMPRODUCT((tl_target=$C91)*(tl_principle="PP3"))&gt;0,"PP3",""),IF(SUMPRODUCT((tl_target=$C91)*(tl_principle="PP4"))&gt;0,"PP4",""))</f>
        <v/>
      </c>
      <c r="S91" s="9" t="n">
        <f aca="false">SUMPRODUCT(--(tl_target=$C91))</f>
        <v>0</v>
      </c>
      <c r="T91" s="53" t="str">
        <f aca="false">IF(SUMPRODUCT((tl_target=$C91)*(tl_align="Primary"))&gt;0,"Primary link",IF(S91&gt;0,"Secondary only","Gap"))</f>
        <v>Gap</v>
      </c>
      <c r="U91" s="66"/>
      <c r="V91" s="66"/>
      <c r="W91" s="66"/>
      <c r="X91" s="66"/>
      <c r="Y91" s="66"/>
    </row>
    <row r="92" customFormat="false" ht="35.05" hidden="false" customHeight="false" outlineLevel="0" collapsed="false">
      <c r="A92" s="24" t="n">
        <v>10</v>
      </c>
      <c r="B92" s="5" t="s">
        <v>310</v>
      </c>
      <c r="C92" s="13" t="s">
        <v>750</v>
      </c>
      <c r="D92" s="5" t="s">
        <v>612</v>
      </c>
      <c r="E92" s="5"/>
      <c r="F92" s="5" t="s">
        <v>751</v>
      </c>
      <c r="G92" s="9" t="n">
        <v>1</v>
      </c>
      <c r="H92" s="53" t="str">
        <f aca="false">IF(SUMPRODUCT((tl_target=$C92)*(tl_sub=H$4)*(tl_align="Primary"))&gt;0,"P",IF(SUMPRODUCT((tl_target=$C92)*(tl_sub=H$4))&gt;0,"S",""))</f>
        <v/>
      </c>
      <c r="I92" s="53" t="str">
        <f aca="false">IF(SUMPRODUCT((tl_target=$C92)*(tl_sub=I$4)*(tl_align="Primary"))&gt;0,"P",IF(SUMPRODUCT((tl_target=$C92)*(tl_sub=I$4))&gt;0,"S",""))</f>
        <v/>
      </c>
      <c r="J92" s="53" t="str">
        <f aca="false">IF(SUMPRODUCT((tl_target=$C92)*(tl_sub=J$4)*(tl_align="Primary"))&gt;0,"P",IF(SUMPRODUCT((tl_target=$C92)*(tl_sub=J$4))&gt;0,"S",""))</f>
        <v/>
      </c>
      <c r="K92" s="53" t="str">
        <f aca="false">IF(SUMPRODUCT((tl_target=$C92)*(tl_sub=K$4)*(tl_align="Primary"))&gt;0,"P",IF(SUMPRODUCT((tl_target=$C92)*(tl_sub=K$4))&gt;0,"S",""))</f>
        <v/>
      </c>
      <c r="L92" s="53" t="str">
        <f aca="false">IF(SUMPRODUCT((tl_target=$C92)*(tl_sub=L$4)*(tl_align="Primary"))&gt;0,"P",IF(SUMPRODUCT((tl_target=$C92)*(tl_sub=L$4))&gt;0,"S",""))</f>
        <v/>
      </c>
      <c r="M92" s="53" t="str">
        <f aca="false">IF(SUMPRODUCT((tl_target=$C92)*(tl_sub=M$4)*(tl_align="Primary"))&gt;0,"P",IF(SUMPRODUCT((tl_target=$C92)*(tl_sub=M$4))&gt;0,"S",""))</f>
        <v/>
      </c>
      <c r="N92" s="53" t="str">
        <f aca="false">IF(SUMPRODUCT((tl_target=$C92)*(tl_sub=N$4)*(tl_align="Primary"))&gt;0,"P",IF(SUMPRODUCT((tl_target=$C92)*(tl_sub=N$4))&gt;0,"S",""))</f>
        <v/>
      </c>
      <c r="O92" s="53" t="str">
        <f aca="false">IF(SUMPRODUCT((tl_target=$C92)*(tl_sub=O$4)*(tl_align="Primary"))&gt;0,"P",IF(SUMPRODUCT((tl_target=$C92)*(tl_sub=O$4))&gt;0,"S",""))</f>
        <v/>
      </c>
      <c r="P92" s="53" t="str">
        <f aca="false">IF(SUMPRODUCT((tl_target=$C92)*(tl_sub=P$4)*(tl_align="Primary"))&gt;0,"P",IF(SUMPRODUCT((tl_target=$C92)*(tl_sub=P$4))&gt;0,"S",""))</f>
        <v/>
      </c>
      <c r="Q92" s="53" t="str">
        <f aca="false">IF(SUMPRODUCT((tl_target=$C92)*(tl_sub=Q$4)*(tl_align="Primary"))&gt;0,"P",IF(SUMPRODUCT((tl_target=$C92)*(tl_sub=Q$4))&gt;0,"S",""))</f>
        <v/>
      </c>
      <c r="R92" s="69" t="str">
        <f aca="false">_xlfn.TEXTJOIN(", ",TRUE(),IF(SUMPRODUCT((tl_target=$C92)*(tl_principle="PP1"))&gt;0,"PP1",""),IF(SUMPRODUCT((tl_target=$C92)*(tl_principle="PP2"))&gt;0,"PP2",""),IF(SUMPRODUCT((tl_target=$C92)*(tl_principle="PP3"))&gt;0,"PP3",""),IF(SUMPRODUCT((tl_target=$C92)*(tl_principle="PP4"))&gt;0,"PP4",""))</f>
        <v/>
      </c>
      <c r="S92" s="9" t="n">
        <f aca="false">SUMPRODUCT(--(tl_target=$C92))</f>
        <v>0</v>
      </c>
      <c r="T92" s="53" t="str">
        <f aca="false">IF(SUMPRODUCT((tl_target=$C92)*(tl_align="Primary"))&gt;0,"Primary link",IF(S92&gt;0,"Secondary only","Gap"))</f>
        <v>Gap</v>
      </c>
      <c r="U92" s="66"/>
      <c r="V92" s="66"/>
      <c r="W92" s="66"/>
      <c r="X92" s="66"/>
      <c r="Y92" s="66"/>
    </row>
    <row r="93" customFormat="false" ht="57.45" hidden="false" customHeight="false" outlineLevel="0" collapsed="false">
      <c r="A93" s="24" t="n">
        <v>10</v>
      </c>
      <c r="B93" s="5" t="s">
        <v>310</v>
      </c>
      <c r="C93" s="13" t="s">
        <v>752</v>
      </c>
      <c r="D93" s="5" t="s">
        <v>612</v>
      </c>
      <c r="E93" s="5"/>
      <c r="F93" s="5" t="s">
        <v>753</v>
      </c>
      <c r="G93" s="9" t="n">
        <v>1</v>
      </c>
      <c r="H93" s="53" t="str">
        <f aca="false">IF(SUMPRODUCT((tl_target=$C93)*(tl_sub=H$4)*(tl_align="Primary"))&gt;0,"P",IF(SUMPRODUCT((tl_target=$C93)*(tl_sub=H$4))&gt;0,"S",""))</f>
        <v/>
      </c>
      <c r="I93" s="53" t="str">
        <f aca="false">IF(SUMPRODUCT((tl_target=$C93)*(tl_sub=I$4)*(tl_align="Primary"))&gt;0,"P",IF(SUMPRODUCT((tl_target=$C93)*(tl_sub=I$4))&gt;0,"S",""))</f>
        <v/>
      </c>
      <c r="J93" s="53" t="str">
        <f aca="false">IF(SUMPRODUCT((tl_target=$C93)*(tl_sub=J$4)*(tl_align="Primary"))&gt;0,"P",IF(SUMPRODUCT((tl_target=$C93)*(tl_sub=J$4))&gt;0,"S",""))</f>
        <v/>
      </c>
      <c r="K93" s="53" t="str">
        <f aca="false">IF(SUMPRODUCT((tl_target=$C93)*(tl_sub=K$4)*(tl_align="Primary"))&gt;0,"P",IF(SUMPRODUCT((tl_target=$C93)*(tl_sub=K$4))&gt;0,"S",""))</f>
        <v/>
      </c>
      <c r="L93" s="53" t="str">
        <f aca="false">IF(SUMPRODUCT((tl_target=$C93)*(tl_sub=L$4)*(tl_align="Primary"))&gt;0,"P",IF(SUMPRODUCT((tl_target=$C93)*(tl_sub=L$4))&gt;0,"S",""))</f>
        <v/>
      </c>
      <c r="M93" s="53" t="str">
        <f aca="false">IF(SUMPRODUCT((tl_target=$C93)*(tl_sub=M$4)*(tl_align="Primary"))&gt;0,"P",IF(SUMPRODUCT((tl_target=$C93)*(tl_sub=M$4))&gt;0,"S",""))</f>
        <v/>
      </c>
      <c r="N93" s="53" t="str">
        <f aca="false">IF(SUMPRODUCT((tl_target=$C93)*(tl_sub=N$4)*(tl_align="Primary"))&gt;0,"P",IF(SUMPRODUCT((tl_target=$C93)*(tl_sub=N$4))&gt;0,"S",""))</f>
        <v/>
      </c>
      <c r="O93" s="53" t="str">
        <f aca="false">IF(SUMPRODUCT((tl_target=$C93)*(tl_sub=O$4)*(tl_align="Primary"))&gt;0,"P",IF(SUMPRODUCT((tl_target=$C93)*(tl_sub=O$4))&gt;0,"S",""))</f>
        <v/>
      </c>
      <c r="P93" s="53" t="str">
        <f aca="false">IF(SUMPRODUCT((tl_target=$C93)*(tl_sub=P$4)*(tl_align="Primary"))&gt;0,"P",IF(SUMPRODUCT((tl_target=$C93)*(tl_sub=P$4))&gt;0,"S",""))</f>
        <v/>
      </c>
      <c r="Q93" s="53" t="str">
        <f aca="false">IF(SUMPRODUCT((tl_target=$C93)*(tl_sub=Q$4)*(tl_align="Primary"))&gt;0,"P",IF(SUMPRODUCT((tl_target=$C93)*(tl_sub=Q$4))&gt;0,"S",""))</f>
        <v/>
      </c>
      <c r="R93" s="69" t="str">
        <f aca="false">_xlfn.TEXTJOIN(", ",TRUE(),IF(SUMPRODUCT((tl_target=$C93)*(tl_principle="PP1"))&gt;0,"PP1",""),IF(SUMPRODUCT((tl_target=$C93)*(tl_principle="PP2"))&gt;0,"PP2",""),IF(SUMPRODUCT((tl_target=$C93)*(tl_principle="PP3"))&gt;0,"PP3",""),IF(SUMPRODUCT((tl_target=$C93)*(tl_principle="PP4"))&gt;0,"PP4",""))</f>
        <v/>
      </c>
      <c r="S93" s="9" t="n">
        <f aca="false">SUMPRODUCT(--(tl_target=$C93))</f>
        <v>0</v>
      </c>
      <c r="T93" s="53" t="str">
        <f aca="false">IF(SUMPRODUCT((tl_target=$C93)*(tl_align="Primary"))&gt;0,"Primary link",IF(S93&gt;0,"Secondary only","Gap"))</f>
        <v>Gap</v>
      </c>
      <c r="U93" s="66"/>
      <c r="V93" s="66"/>
      <c r="W93" s="66"/>
      <c r="X93" s="66"/>
      <c r="Y93" s="66"/>
    </row>
    <row r="94" customFormat="false" ht="35.05" hidden="false" customHeight="false" outlineLevel="0" collapsed="false">
      <c r="A94" s="24" t="n">
        <v>10</v>
      </c>
      <c r="B94" s="5" t="s">
        <v>310</v>
      </c>
      <c r="C94" s="13" t="s">
        <v>754</v>
      </c>
      <c r="D94" s="5" t="s">
        <v>612</v>
      </c>
      <c r="E94" s="5"/>
      <c r="F94" s="5" t="s">
        <v>755</v>
      </c>
      <c r="G94" s="9" t="n">
        <v>1</v>
      </c>
      <c r="H94" s="53" t="str">
        <f aca="false">IF(SUMPRODUCT((tl_target=$C94)*(tl_sub=H$4)*(tl_align="Primary"))&gt;0,"P",IF(SUMPRODUCT((tl_target=$C94)*(tl_sub=H$4))&gt;0,"S",""))</f>
        <v/>
      </c>
      <c r="I94" s="53" t="str">
        <f aca="false">IF(SUMPRODUCT((tl_target=$C94)*(tl_sub=I$4)*(tl_align="Primary"))&gt;0,"P",IF(SUMPRODUCT((tl_target=$C94)*(tl_sub=I$4))&gt;0,"S",""))</f>
        <v/>
      </c>
      <c r="J94" s="53" t="str">
        <f aca="false">IF(SUMPRODUCT((tl_target=$C94)*(tl_sub=J$4)*(tl_align="Primary"))&gt;0,"P",IF(SUMPRODUCT((tl_target=$C94)*(tl_sub=J$4))&gt;0,"S",""))</f>
        <v/>
      </c>
      <c r="K94" s="53" t="str">
        <f aca="false">IF(SUMPRODUCT((tl_target=$C94)*(tl_sub=K$4)*(tl_align="Primary"))&gt;0,"P",IF(SUMPRODUCT((tl_target=$C94)*(tl_sub=K$4))&gt;0,"S",""))</f>
        <v/>
      </c>
      <c r="L94" s="53" t="str">
        <f aca="false">IF(SUMPRODUCT((tl_target=$C94)*(tl_sub=L$4)*(tl_align="Primary"))&gt;0,"P",IF(SUMPRODUCT((tl_target=$C94)*(tl_sub=L$4))&gt;0,"S",""))</f>
        <v/>
      </c>
      <c r="M94" s="53" t="str">
        <f aca="false">IF(SUMPRODUCT((tl_target=$C94)*(tl_sub=M$4)*(tl_align="Primary"))&gt;0,"P",IF(SUMPRODUCT((tl_target=$C94)*(tl_sub=M$4))&gt;0,"S",""))</f>
        <v/>
      </c>
      <c r="N94" s="53" t="str">
        <f aca="false">IF(SUMPRODUCT((tl_target=$C94)*(tl_sub=N$4)*(tl_align="Primary"))&gt;0,"P",IF(SUMPRODUCT((tl_target=$C94)*(tl_sub=N$4))&gt;0,"S",""))</f>
        <v/>
      </c>
      <c r="O94" s="53" t="str">
        <f aca="false">IF(SUMPRODUCT((tl_target=$C94)*(tl_sub=O$4)*(tl_align="Primary"))&gt;0,"P",IF(SUMPRODUCT((tl_target=$C94)*(tl_sub=O$4))&gt;0,"S",""))</f>
        <v/>
      </c>
      <c r="P94" s="53" t="str">
        <f aca="false">IF(SUMPRODUCT((tl_target=$C94)*(tl_sub=P$4)*(tl_align="Primary"))&gt;0,"P",IF(SUMPRODUCT((tl_target=$C94)*(tl_sub=P$4))&gt;0,"S",""))</f>
        <v/>
      </c>
      <c r="Q94" s="53" t="str">
        <f aca="false">IF(SUMPRODUCT((tl_target=$C94)*(tl_sub=Q$4)*(tl_align="Primary"))&gt;0,"P",IF(SUMPRODUCT((tl_target=$C94)*(tl_sub=Q$4))&gt;0,"S",""))</f>
        <v/>
      </c>
      <c r="R94" s="69" t="str">
        <f aca="false">_xlfn.TEXTJOIN(", ",TRUE(),IF(SUMPRODUCT((tl_target=$C94)*(tl_principle="PP1"))&gt;0,"PP1",""),IF(SUMPRODUCT((tl_target=$C94)*(tl_principle="PP2"))&gt;0,"PP2",""),IF(SUMPRODUCT((tl_target=$C94)*(tl_principle="PP3"))&gt;0,"PP3",""),IF(SUMPRODUCT((tl_target=$C94)*(tl_principle="PP4"))&gt;0,"PP4",""))</f>
        <v/>
      </c>
      <c r="S94" s="9" t="n">
        <f aca="false">SUMPRODUCT(--(tl_target=$C94))</f>
        <v>0</v>
      </c>
      <c r="T94" s="53" t="str">
        <f aca="false">IF(SUMPRODUCT((tl_target=$C94)*(tl_align="Primary"))&gt;0,"Primary link",IF(S94&gt;0,"Secondary only","Gap"))</f>
        <v>Gap</v>
      </c>
      <c r="U94" s="66"/>
      <c r="V94" s="66"/>
      <c r="W94" s="66"/>
      <c r="X94" s="66"/>
      <c r="Y94" s="66"/>
    </row>
    <row r="95" customFormat="false" ht="23.85" hidden="false" customHeight="false" outlineLevel="0" collapsed="false">
      <c r="A95" s="16" t="n">
        <v>11</v>
      </c>
      <c r="B95" s="5" t="s">
        <v>174</v>
      </c>
      <c r="C95" s="13" t="s">
        <v>292</v>
      </c>
      <c r="D95" s="5" t="s">
        <v>499</v>
      </c>
      <c r="E95" s="5" t="s">
        <v>293</v>
      </c>
      <c r="F95" s="5" t="s">
        <v>294</v>
      </c>
      <c r="G95" s="9" t="n">
        <v>1</v>
      </c>
      <c r="H95" s="53" t="str">
        <f aca="false">IF(SUMPRODUCT((tl_target=$C95)*(tl_sub=H$4)*(tl_align="Primary"))&gt;0,"P",IF(SUMPRODUCT((tl_target=$C95)*(tl_sub=H$4))&gt;0,"S",""))</f>
        <v/>
      </c>
      <c r="I95" s="53" t="str">
        <f aca="false">IF(SUMPRODUCT((tl_target=$C95)*(tl_sub=I$4)*(tl_align="Primary"))&gt;0,"P",IF(SUMPRODUCT((tl_target=$C95)*(tl_sub=I$4))&gt;0,"S",""))</f>
        <v/>
      </c>
      <c r="J95" s="53" t="str">
        <f aca="false">IF(SUMPRODUCT((tl_target=$C95)*(tl_sub=J$4)*(tl_align="Primary"))&gt;0,"P",IF(SUMPRODUCT((tl_target=$C95)*(tl_sub=J$4))&gt;0,"S",""))</f>
        <v/>
      </c>
      <c r="K95" s="53" t="str">
        <f aca="false">IF(SUMPRODUCT((tl_target=$C95)*(tl_sub=K$4)*(tl_align="Primary"))&gt;0,"P",IF(SUMPRODUCT((tl_target=$C95)*(tl_sub=K$4))&gt;0,"S",""))</f>
        <v/>
      </c>
      <c r="L95" s="53" t="str">
        <f aca="false">IF(SUMPRODUCT((tl_target=$C95)*(tl_sub=L$4)*(tl_align="Primary"))&gt;0,"P",IF(SUMPRODUCT((tl_target=$C95)*(tl_sub=L$4))&gt;0,"S",""))</f>
        <v/>
      </c>
      <c r="M95" s="53" t="str">
        <f aca="false">IF(SUMPRODUCT((tl_target=$C95)*(tl_sub=M$4)*(tl_align="Primary"))&gt;0,"P",IF(SUMPRODUCT((tl_target=$C95)*(tl_sub=M$4))&gt;0,"S",""))</f>
        <v>P</v>
      </c>
      <c r="N95" s="53" t="str">
        <f aca="false">IF(SUMPRODUCT((tl_target=$C95)*(tl_sub=N$4)*(tl_align="Primary"))&gt;0,"P",IF(SUMPRODUCT((tl_target=$C95)*(tl_sub=N$4))&gt;0,"S",""))</f>
        <v/>
      </c>
      <c r="O95" s="53" t="str">
        <f aca="false">IF(SUMPRODUCT((tl_target=$C95)*(tl_sub=O$4)*(tl_align="Primary"))&gt;0,"P",IF(SUMPRODUCT((tl_target=$C95)*(tl_sub=O$4))&gt;0,"S",""))</f>
        <v/>
      </c>
      <c r="P95" s="53" t="str">
        <f aca="false">IF(SUMPRODUCT((tl_target=$C95)*(tl_sub=P$4)*(tl_align="Primary"))&gt;0,"P",IF(SUMPRODUCT((tl_target=$C95)*(tl_sub=P$4))&gt;0,"S",""))</f>
        <v/>
      </c>
      <c r="Q95" s="53" t="str">
        <f aca="false">IF(SUMPRODUCT((tl_target=$C95)*(tl_sub=Q$4)*(tl_align="Primary"))&gt;0,"P",IF(SUMPRODUCT((tl_target=$C95)*(tl_sub=Q$4))&gt;0,"S",""))</f>
        <v/>
      </c>
      <c r="R95" s="69" t="str">
        <f aca="false">_xlfn.TEXTJOIN(", ",TRUE(),IF(SUMPRODUCT((tl_target=$C95)*(tl_principle="PP1"))&gt;0,"PP1",""),IF(SUMPRODUCT((tl_target=$C95)*(tl_principle="PP2"))&gt;0,"PP2",""),IF(SUMPRODUCT((tl_target=$C95)*(tl_principle="PP3"))&gt;0,"PP3",""),IF(SUMPRODUCT((tl_target=$C95)*(tl_principle="PP4"))&gt;0,"PP4",""))</f>
        <v>PP3</v>
      </c>
      <c r="S95" s="9" t="n">
        <f aca="false">SUMPRODUCT(--(tl_target=$C95))</f>
        <v>1</v>
      </c>
      <c r="T95" s="53" t="str">
        <f aca="false">IF(SUMPRODUCT((tl_target=$C95)*(tl_align="Primary"))&gt;0,"Primary link",IF(S95&gt;0,"Secondary only","Gap"))</f>
        <v>Primary link</v>
      </c>
      <c r="U95" s="66"/>
      <c r="V95" s="66"/>
      <c r="W95" s="66"/>
      <c r="X95" s="66"/>
      <c r="Y95" s="66"/>
    </row>
    <row r="96" customFormat="false" ht="46.25" hidden="false" customHeight="false" outlineLevel="0" collapsed="false">
      <c r="A96" s="16" t="n">
        <v>11</v>
      </c>
      <c r="B96" s="5" t="s">
        <v>174</v>
      </c>
      <c r="C96" s="13" t="s">
        <v>296</v>
      </c>
      <c r="D96" s="5" t="s">
        <v>499</v>
      </c>
      <c r="E96" s="5" t="s">
        <v>297</v>
      </c>
      <c r="F96" s="5" t="s">
        <v>298</v>
      </c>
      <c r="G96" s="9" t="n">
        <v>1</v>
      </c>
      <c r="H96" s="53" t="str">
        <f aca="false">IF(SUMPRODUCT((tl_target=$C96)*(tl_sub=H$4)*(tl_align="Primary"))&gt;0,"P",IF(SUMPRODUCT((tl_target=$C96)*(tl_sub=H$4))&gt;0,"S",""))</f>
        <v/>
      </c>
      <c r="I96" s="53" t="str">
        <f aca="false">IF(SUMPRODUCT((tl_target=$C96)*(tl_sub=I$4)*(tl_align="Primary"))&gt;0,"P",IF(SUMPRODUCT((tl_target=$C96)*(tl_sub=I$4))&gt;0,"S",""))</f>
        <v/>
      </c>
      <c r="J96" s="53" t="str">
        <f aca="false">IF(SUMPRODUCT((tl_target=$C96)*(tl_sub=J$4)*(tl_align="Primary"))&gt;0,"P",IF(SUMPRODUCT((tl_target=$C96)*(tl_sub=J$4))&gt;0,"S",""))</f>
        <v/>
      </c>
      <c r="K96" s="53" t="str">
        <f aca="false">IF(SUMPRODUCT((tl_target=$C96)*(tl_sub=K$4)*(tl_align="Primary"))&gt;0,"P",IF(SUMPRODUCT((tl_target=$C96)*(tl_sub=K$4))&gt;0,"S",""))</f>
        <v/>
      </c>
      <c r="L96" s="53" t="str">
        <f aca="false">IF(SUMPRODUCT((tl_target=$C96)*(tl_sub=L$4)*(tl_align="Primary"))&gt;0,"P",IF(SUMPRODUCT((tl_target=$C96)*(tl_sub=L$4))&gt;0,"S",""))</f>
        <v/>
      </c>
      <c r="M96" s="53" t="str">
        <f aca="false">IF(SUMPRODUCT((tl_target=$C96)*(tl_sub=M$4)*(tl_align="Primary"))&gt;0,"P",IF(SUMPRODUCT((tl_target=$C96)*(tl_sub=M$4))&gt;0,"S",""))</f>
        <v>P</v>
      </c>
      <c r="N96" s="53" t="str">
        <f aca="false">IF(SUMPRODUCT((tl_target=$C96)*(tl_sub=N$4)*(tl_align="Primary"))&gt;0,"P",IF(SUMPRODUCT((tl_target=$C96)*(tl_sub=N$4))&gt;0,"S",""))</f>
        <v/>
      </c>
      <c r="O96" s="53" t="str">
        <f aca="false">IF(SUMPRODUCT((tl_target=$C96)*(tl_sub=O$4)*(tl_align="Primary"))&gt;0,"P",IF(SUMPRODUCT((tl_target=$C96)*(tl_sub=O$4))&gt;0,"S",""))</f>
        <v/>
      </c>
      <c r="P96" s="53" t="str">
        <f aca="false">IF(SUMPRODUCT((tl_target=$C96)*(tl_sub=P$4)*(tl_align="Primary"))&gt;0,"P",IF(SUMPRODUCT((tl_target=$C96)*(tl_sub=P$4))&gt;0,"S",""))</f>
        <v/>
      </c>
      <c r="Q96" s="53" t="str">
        <f aca="false">IF(SUMPRODUCT((tl_target=$C96)*(tl_sub=Q$4)*(tl_align="Primary"))&gt;0,"P",IF(SUMPRODUCT((tl_target=$C96)*(tl_sub=Q$4))&gt;0,"S",""))</f>
        <v/>
      </c>
      <c r="R96" s="69" t="str">
        <f aca="false">_xlfn.TEXTJOIN(", ",TRUE(),IF(SUMPRODUCT((tl_target=$C96)*(tl_principle="PP1"))&gt;0,"PP1",""),IF(SUMPRODUCT((tl_target=$C96)*(tl_principle="PP2"))&gt;0,"PP2",""),IF(SUMPRODUCT((tl_target=$C96)*(tl_principle="PP3"))&gt;0,"PP3",""),IF(SUMPRODUCT((tl_target=$C96)*(tl_principle="PP4"))&gt;0,"PP4",""))</f>
        <v>PP3</v>
      </c>
      <c r="S96" s="9" t="n">
        <f aca="false">SUMPRODUCT(--(tl_target=$C96))</f>
        <v>1</v>
      </c>
      <c r="T96" s="53" t="str">
        <f aca="false">IF(SUMPRODUCT((tl_target=$C96)*(tl_align="Primary"))&gt;0,"Primary link",IF(S96&gt;0,"Secondary only","Gap"))</f>
        <v>Primary link</v>
      </c>
      <c r="U96" s="66"/>
      <c r="V96" s="66"/>
      <c r="W96" s="66"/>
      <c r="X96" s="66"/>
      <c r="Y96" s="66"/>
    </row>
    <row r="97" customFormat="false" ht="35.05" hidden="false" customHeight="false" outlineLevel="0" collapsed="false">
      <c r="A97" s="16" t="n">
        <v>11</v>
      </c>
      <c r="B97" s="5" t="s">
        <v>174</v>
      </c>
      <c r="C97" s="13" t="s">
        <v>175</v>
      </c>
      <c r="D97" s="5" t="s">
        <v>499</v>
      </c>
      <c r="E97" s="5" t="s">
        <v>176</v>
      </c>
      <c r="F97" s="5" t="s">
        <v>177</v>
      </c>
      <c r="G97" s="9" t="n">
        <v>2</v>
      </c>
      <c r="H97" s="53" t="str">
        <f aca="false">IF(SUMPRODUCT((tl_target=$C97)*(tl_sub=H$4)*(tl_align="Primary"))&gt;0,"P",IF(SUMPRODUCT((tl_target=$C97)*(tl_sub=H$4))&gt;0,"S",""))</f>
        <v>S</v>
      </c>
      <c r="I97" s="53" t="str">
        <f aca="false">IF(SUMPRODUCT((tl_target=$C97)*(tl_sub=I$4)*(tl_align="Primary"))&gt;0,"P",IF(SUMPRODUCT((tl_target=$C97)*(tl_sub=I$4))&gt;0,"S",""))</f>
        <v/>
      </c>
      <c r="J97" s="53" t="str">
        <f aca="false">IF(SUMPRODUCT((tl_target=$C97)*(tl_sub=J$4)*(tl_align="Primary"))&gt;0,"P",IF(SUMPRODUCT((tl_target=$C97)*(tl_sub=J$4))&gt;0,"S",""))</f>
        <v/>
      </c>
      <c r="K97" s="53" t="str">
        <f aca="false">IF(SUMPRODUCT((tl_target=$C97)*(tl_sub=K$4)*(tl_align="Primary"))&gt;0,"P",IF(SUMPRODUCT((tl_target=$C97)*(tl_sub=K$4))&gt;0,"S",""))</f>
        <v>P</v>
      </c>
      <c r="L97" s="53" t="str">
        <f aca="false">IF(SUMPRODUCT((tl_target=$C97)*(tl_sub=L$4)*(tl_align="Primary"))&gt;0,"P",IF(SUMPRODUCT((tl_target=$C97)*(tl_sub=L$4))&gt;0,"S",""))</f>
        <v/>
      </c>
      <c r="M97" s="53" t="str">
        <f aca="false">IF(SUMPRODUCT((tl_target=$C97)*(tl_sub=M$4)*(tl_align="Primary"))&gt;0,"P",IF(SUMPRODUCT((tl_target=$C97)*(tl_sub=M$4))&gt;0,"S",""))</f>
        <v>P</v>
      </c>
      <c r="N97" s="53" t="str">
        <f aca="false">IF(SUMPRODUCT((tl_target=$C97)*(tl_sub=N$4)*(tl_align="Primary"))&gt;0,"P",IF(SUMPRODUCT((tl_target=$C97)*(tl_sub=N$4))&gt;0,"S",""))</f>
        <v>P</v>
      </c>
      <c r="O97" s="53" t="str">
        <f aca="false">IF(SUMPRODUCT((tl_target=$C97)*(tl_sub=O$4)*(tl_align="Primary"))&gt;0,"P",IF(SUMPRODUCT((tl_target=$C97)*(tl_sub=O$4))&gt;0,"S",""))</f>
        <v/>
      </c>
      <c r="P97" s="53" t="str">
        <f aca="false">IF(SUMPRODUCT((tl_target=$C97)*(tl_sub=P$4)*(tl_align="Primary"))&gt;0,"P",IF(SUMPRODUCT((tl_target=$C97)*(tl_sub=P$4))&gt;0,"S",""))</f>
        <v/>
      </c>
      <c r="Q97" s="53" t="str">
        <f aca="false">IF(SUMPRODUCT((tl_target=$C97)*(tl_sub=Q$4)*(tl_align="Primary"))&gt;0,"P",IF(SUMPRODUCT((tl_target=$C97)*(tl_sub=Q$4))&gt;0,"S",""))</f>
        <v/>
      </c>
      <c r="R97" s="69" t="str">
        <f aca="false">_xlfn.TEXTJOIN(", ",TRUE(),IF(SUMPRODUCT((tl_target=$C97)*(tl_principle="PP1"))&gt;0,"PP1",""),IF(SUMPRODUCT((tl_target=$C97)*(tl_principle="PP2"))&gt;0,"PP2",""),IF(SUMPRODUCT((tl_target=$C97)*(tl_principle="PP3"))&gt;0,"PP3",""),IF(SUMPRODUCT((tl_target=$C97)*(tl_principle="PP4"))&gt;0,"PP4",""))</f>
        <v>PP1, PP2, PP3</v>
      </c>
      <c r="S97" s="9" t="n">
        <f aca="false">SUMPRODUCT(--(tl_target=$C97))</f>
        <v>4</v>
      </c>
      <c r="T97" s="53" t="str">
        <f aca="false">IF(SUMPRODUCT((tl_target=$C97)*(tl_align="Primary"))&gt;0,"Primary link",IF(S97&gt;0,"Secondary only","Gap"))</f>
        <v>Primary link</v>
      </c>
      <c r="U97" s="66"/>
      <c r="V97" s="66"/>
      <c r="W97" s="66"/>
      <c r="X97" s="66"/>
      <c r="Y97" s="66"/>
    </row>
    <row r="98" customFormat="false" ht="23.85" hidden="false" customHeight="false" outlineLevel="0" collapsed="false">
      <c r="A98" s="16" t="n">
        <v>11</v>
      </c>
      <c r="B98" s="5" t="s">
        <v>174</v>
      </c>
      <c r="C98" s="13" t="s">
        <v>756</v>
      </c>
      <c r="D98" s="5" t="s">
        <v>499</v>
      </c>
      <c r="E98" s="5"/>
      <c r="F98" s="5" t="s">
        <v>757</v>
      </c>
      <c r="G98" s="9" t="n">
        <v>1</v>
      </c>
      <c r="H98" s="53" t="str">
        <f aca="false">IF(SUMPRODUCT((tl_target=$C98)*(tl_sub=H$4)*(tl_align="Primary"))&gt;0,"P",IF(SUMPRODUCT((tl_target=$C98)*(tl_sub=H$4))&gt;0,"S",""))</f>
        <v/>
      </c>
      <c r="I98" s="53" t="str">
        <f aca="false">IF(SUMPRODUCT((tl_target=$C98)*(tl_sub=I$4)*(tl_align="Primary"))&gt;0,"P",IF(SUMPRODUCT((tl_target=$C98)*(tl_sub=I$4))&gt;0,"S",""))</f>
        <v/>
      </c>
      <c r="J98" s="53" t="str">
        <f aca="false">IF(SUMPRODUCT((tl_target=$C98)*(tl_sub=J$4)*(tl_align="Primary"))&gt;0,"P",IF(SUMPRODUCT((tl_target=$C98)*(tl_sub=J$4))&gt;0,"S",""))</f>
        <v/>
      </c>
      <c r="K98" s="53" t="str">
        <f aca="false">IF(SUMPRODUCT((tl_target=$C98)*(tl_sub=K$4)*(tl_align="Primary"))&gt;0,"P",IF(SUMPRODUCT((tl_target=$C98)*(tl_sub=K$4))&gt;0,"S",""))</f>
        <v/>
      </c>
      <c r="L98" s="53" t="str">
        <f aca="false">IF(SUMPRODUCT((tl_target=$C98)*(tl_sub=L$4)*(tl_align="Primary"))&gt;0,"P",IF(SUMPRODUCT((tl_target=$C98)*(tl_sub=L$4))&gt;0,"S",""))</f>
        <v/>
      </c>
      <c r="M98" s="53" t="str">
        <f aca="false">IF(SUMPRODUCT((tl_target=$C98)*(tl_sub=M$4)*(tl_align="Primary"))&gt;0,"P",IF(SUMPRODUCT((tl_target=$C98)*(tl_sub=M$4))&gt;0,"S",""))</f>
        <v/>
      </c>
      <c r="N98" s="53" t="str">
        <f aca="false">IF(SUMPRODUCT((tl_target=$C98)*(tl_sub=N$4)*(tl_align="Primary"))&gt;0,"P",IF(SUMPRODUCT((tl_target=$C98)*(tl_sub=N$4))&gt;0,"S",""))</f>
        <v/>
      </c>
      <c r="O98" s="53" t="str">
        <f aca="false">IF(SUMPRODUCT((tl_target=$C98)*(tl_sub=O$4)*(tl_align="Primary"))&gt;0,"P",IF(SUMPRODUCT((tl_target=$C98)*(tl_sub=O$4))&gt;0,"S",""))</f>
        <v/>
      </c>
      <c r="P98" s="53" t="str">
        <f aca="false">IF(SUMPRODUCT((tl_target=$C98)*(tl_sub=P$4)*(tl_align="Primary"))&gt;0,"P",IF(SUMPRODUCT((tl_target=$C98)*(tl_sub=P$4))&gt;0,"S",""))</f>
        <v/>
      </c>
      <c r="Q98" s="53" t="str">
        <f aca="false">IF(SUMPRODUCT((tl_target=$C98)*(tl_sub=Q$4)*(tl_align="Primary"))&gt;0,"P",IF(SUMPRODUCT((tl_target=$C98)*(tl_sub=Q$4))&gt;0,"S",""))</f>
        <v/>
      </c>
      <c r="R98" s="69" t="str">
        <f aca="false">_xlfn.TEXTJOIN(", ",TRUE(),IF(SUMPRODUCT((tl_target=$C98)*(tl_principle="PP1"))&gt;0,"PP1",""),IF(SUMPRODUCT((tl_target=$C98)*(tl_principle="PP2"))&gt;0,"PP2",""),IF(SUMPRODUCT((tl_target=$C98)*(tl_principle="PP3"))&gt;0,"PP3",""),IF(SUMPRODUCT((tl_target=$C98)*(tl_principle="PP4"))&gt;0,"PP4",""))</f>
        <v/>
      </c>
      <c r="S98" s="9" t="n">
        <f aca="false">SUMPRODUCT(--(tl_target=$C98))</f>
        <v>0</v>
      </c>
      <c r="T98" s="53" t="str">
        <f aca="false">IF(SUMPRODUCT((tl_target=$C98)*(tl_align="Primary"))&gt;0,"Primary link",IF(S98&gt;0,"Secondary only","Gap"))</f>
        <v>Gap</v>
      </c>
      <c r="U98" s="66"/>
      <c r="V98" s="66"/>
      <c r="W98" s="66"/>
      <c r="X98" s="66"/>
      <c r="Y98" s="66"/>
    </row>
    <row r="99" customFormat="false" ht="57.45" hidden="false" customHeight="false" outlineLevel="0" collapsed="false">
      <c r="A99" s="16" t="n">
        <v>11</v>
      </c>
      <c r="B99" s="5" t="s">
        <v>174</v>
      </c>
      <c r="C99" s="13" t="s">
        <v>239</v>
      </c>
      <c r="D99" s="5" t="s">
        <v>499</v>
      </c>
      <c r="E99" s="5" t="s">
        <v>240</v>
      </c>
      <c r="F99" s="5" t="s">
        <v>241</v>
      </c>
      <c r="G99" s="9" t="n">
        <v>3</v>
      </c>
      <c r="H99" s="53" t="str">
        <f aca="false">IF(SUMPRODUCT((tl_target=$C99)*(tl_sub=H$4)*(tl_align="Primary"))&gt;0,"P",IF(SUMPRODUCT((tl_target=$C99)*(tl_sub=H$4))&gt;0,"S",""))</f>
        <v/>
      </c>
      <c r="I99" s="53" t="str">
        <f aca="false">IF(SUMPRODUCT((tl_target=$C99)*(tl_sub=I$4)*(tl_align="Primary"))&gt;0,"P",IF(SUMPRODUCT((tl_target=$C99)*(tl_sub=I$4))&gt;0,"S",""))</f>
        <v/>
      </c>
      <c r="J99" s="53" t="str">
        <f aca="false">IF(SUMPRODUCT((tl_target=$C99)*(tl_sub=J$4)*(tl_align="Primary"))&gt;0,"P",IF(SUMPRODUCT((tl_target=$C99)*(tl_sub=J$4))&gt;0,"S",""))</f>
        <v>S</v>
      </c>
      <c r="K99" s="53" t="str">
        <f aca="false">IF(SUMPRODUCT((tl_target=$C99)*(tl_sub=K$4)*(tl_align="Primary"))&gt;0,"P",IF(SUMPRODUCT((tl_target=$C99)*(tl_sub=K$4))&gt;0,"S",""))</f>
        <v/>
      </c>
      <c r="L99" s="53" t="str">
        <f aca="false">IF(SUMPRODUCT((tl_target=$C99)*(tl_sub=L$4)*(tl_align="Primary"))&gt;0,"P",IF(SUMPRODUCT((tl_target=$C99)*(tl_sub=L$4))&gt;0,"S",""))</f>
        <v/>
      </c>
      <c r="M99" s="53" t="str">
        <f aca="false">IF(SUMPRODUCT((tl_target=$C99)*(tl_sub=M$4)*(tl_align="Primary"))&gt;0,"P",IF(SUMPRODUCT((tl_target=$C99)*(tl_sub=M$4))&gt;0,"S",""))</f>
        <v/>
      </c>
      <c r="N99" s="53" t="str">
        <f aca="false">IF(SUMPRODUCT((tl_target=$C99)*(tl_sub=N$4)*(tl_align="Primary"))&gt;0,"P",IF(SUMPRODUCT((tl_target=$C99)*(tl_sub=N$4))&gt;0,"S",""))</f>
        <v/>
      </c>
      <c r="O99" s="53" t="str">
        <f aca="false">IF(SUMPRODUCT((tl_target=$C99)*(tl_sub=O$4)*(tl_align="Primary"))&gt;0,"P",IF(SUMPRODUCT((tl_target=$C99)*(tl_sub=O$4))&gt;0,"S",""))</f>
        <v/>
      </c>
      <c r="P99" s="53" t="str">
        <f aca="false">IF(SUMPRODUCT((tl_target=$C99)*(tl_sub=P$4)*(tl_align="Primary"))&gt;0,"P",IF(SUMPRODUCT((tl_target=$C99)*(tl_sub=P$4))&gt;0,"S",""))</f>
        <v/>
      </c>
      <c r="Q99" s="53" t="str">
        <f aca="false">IF(SUMPRODUCT((tl_target=$C99)*(tl_sub=Q$4)*(tl_align="Primary"))&gt;0,"P",IF(SUMPRODUCT((tl_target=$C99)*(tl_sub=Q$4))&gt;0,"S",""))</f>
        <v/>
      </c>
      <c r="R99" s="69" t="str">
        <f aca="false">_xlfn.TEXTJOIN(", ",TRUE(),IF(SUMPRODUCT((tl_target=$C99)*(tl_principle="PP1"))&gt;0,"PP1",""),IF(SUMPRODUCT((tl_target=$C99)*(tl_principle="PP2"))&gt;0,"PP2",""),IF(SUMPRODUCT((tl_target=$C99)*(tl_principle="PP3"))&gt;0,"PP3",""),IF(SUMPRODUCT((tl_target=$C99)*(tl_principle="PP4"))&gt;0,"PP4",""))</f>
        <v>PP2</v>
      </c>
      <c r="S99" s="9" t="n">
        <f aca="false">SUMPRODUCT(--(tl_target=$C99))</f>
        <v>1</v>
      </c>
      <c r="T99" s="53" t="str">
        <f aca="false">IF(SUMPRODUCT((tl_target=$C99)*(tl_align="Primary"))&gt;0,"Primary link",IF(S99&gt;0,"Secondary only","Gap"))</f>
        <v>Secondary only</v>
      </c>
      <c r="U99" s="66"/>
      <c r="V99" s="66"/>
      <c r="W99" s="66"/>
      <c r="X99" s="66"/>
      <c r="Y99" s="66"/>
    </row>
    <row r="100" customFormat="false" ht="35.05" hidden="false" customHeight="false" outlineLevel="0" collapsed="false">
      <c r="A100" s="16" t="n">
        <v>11</v>
      </c>
      <c r="B100" s="5" t="s">
        <v>174</v>
      </c>
      <c r="C100" s="13" t="s">
        <v>285</v>
      </c>
      <c r="D100" s="5" t="s">
        <v>499</v>
      </c>
      <c r="E100" s="5" t="s">
        <v>286</v>
      </c>
      <c r="F100" s="5" t="s">
        <v>287</v>
      </c>
      <c r="G100" s="9" t="n">
        <v>2</v>
      </c>
      <c r="H100" s="53" t="str">
        <f aca="false">IF(SUMPRODUCT((tl_target=$C100)*(tl_sub=H$4)*(tl_align="Primary"))&gt;0,"P",IF(SUMPRODUCT((tl_target=$C100)*(tl_sub=H$4))&gt;0,"S",""))</f>
        <v/>
      </c>
      <c r="I100" s="53" t="str">
        <f aca="false">IF(SUMPRODUCT((tl_target=$C100)*(tl_sub=I$4)*(tl_align="Primary"))&gt;0,"P",IF(SUMPRODUCT((tl_target=$C100)*(tl_sub=I$4))&gt;0,"S",""))</f>
        <v/>
      </c>
      <c r="J100" s="53" t="str">
        <f aca="false">IF(SUMPRODUCT((tl_target=$C100)*(tl_sub=J$4)*(tl_align="Primary"))&gt;0,"P",IF(SUMPRODUCT((tl_target=$C100)*(tl_sub=J$4))&gt;0,"S",""))</f>
        <v/>
      </c>
      <c r="K100" s="53" t="str">
        <f aca="false">IF(SUMPRODUCT((tl_target=$C100)*(tl_sub=K$4)*(tl_align="Primary"))&gt;0,"P",IF(SUMPRODUCT((tl_target=$C100)*(tl_sub=K$4))&gt;0,"S",""))</f>
        <v/>
      </c>
      <c r="L100" s="53" t="str">
        <f aca="false">IF(SUMPRODUCT((tl_target=$C100)*(tl_sub=L$4)*(tl_align="Primary"))&gt;0,"P",IF(SUMPRODUCT((tl_target=$C100)*(tl_sub=L$4))&gt;0,"S",""))</f>
        <v>S</v>
      </c>
      <c r="M100" s="53" t="str">
        <f aca="false">IF(SUMPRODUCT((tl_target=$C100)*(tl_sub=M$4)*(tl_align="Primary"))&gt;0,"P",IF(SUMPRODUCT((tl_target=$C100)*(tl_sub=M$4))&gt;0,"S",""))</f>
        <v/>
      </c>
      <c r="N100" s="53" t="str">
        <f aca="false">IF(SUMPRODUCT((tl_target=$C100)*(tl_sub=N$4)*(tl_align="Primary"))&gt;0,"P",IF(SUMPRODUCT((tl_target=$C100)*(tl_sub=N$4))&gt;0,"S",""))</f>
        <v/>
      </c>
      <c r="O100" s="53" t="str">
        <f aca="false">IF(SUMPRODUCT((tl_target=$C100)*(tl_sub=O$4)*(tl_align="Primary"))&gt;0,"P",IF(SUMPRODUCT((tl_target=$C100)*(tl_sub=O$4))&gt;0,"S",""))</f>
        <v/>
      </c>
      <c r="P100" s="53" t="str">
        <f aca="false">IF(SUMPRODUCT((tl_target=$C100)*(tl_sub=P$4)*(tl_align="Primary"))&gt;0,"P",IF(SUMPRODUCT((tl_target=$C100)*(tl_sub=P$4))&gt;0,"S",""))</f>
        <v/>
      </c>
      <c r="Q100" s="53" t="str">
        <f aca="false">IF(SUMPRODUCT((tl_target=$C100)*(tl_sub=Q$4)*(tl_align="Primary"))&gt;0,"P",IF(SUMPRODUCT((tl_target=$C100)*(tl_sub=Q$4))&gt;0,"S",""))</f>
        <v/>
      </c>
      <c r="R100" s="69" t="str">
        <f aca="false">_xlfn.TEXTJOIN(", ",TRUE(),IF(SUMPRODUCT((tl_target=$C100)*(tl_principle="PP1"))&gt;0,"PP1",""),IF(SUMPRODUCT((tl_target=$C100)*(tl_principle="PP2"))&gt;0,"PP2",""),IF(SUMPRODUCT((tl_target=$C100)*(tl_principle="PP3"))&gt;0,"PP3",""),IF(SUMPRODUCT((tl_target=$C100)*(tl_principle="PP4"))&gt;0,"PP4",""))</f>
        <v>PP2</v>
      </c>
      <c r="S100" s="9" t="n">
        <f aca="false">SUMPRODUCT(--(tl_target=$C100))</f>
        <v>1</v>
      </c>
      <c r="T100" s="53" t="str">
        <f aca="false">IF(SUMPRODUCT((tl_target=$C100)*(tl_align="Primary"))&gt;0,"Primary link",IF(S100&gt;0,"Secondary only","Gap"))</f>
        <v>Secondary only</v>
      </c>
      <c r="U100" s="66"/>
      <c r="V100" s="66"/>
      <c r="W100" s="66"/>
      <c r="X100" s="66"/>
      <c r="Y100" s="66"/>
    </row>
    <row r="101" customFormat="false" ht="35.05" hidden="false" customHeight="false" outlineLevel="0" collapsed="false">
      <c r="A101" s="16" t="n">
        <v>11</v>
      </c>
      <c r="B101" s="5" t="s">
        <v>174</v>
      </c>
      <c r="C101" s="13" t="s">
        <v>758</v>
      </c>
      <c r="D101" s="5" t="s">
        <v>499</v>
      </c>
      <c r="E101" s="5"/>
      <c r="F101" s="5" t="s">
        <v>759</v>
      </c>
      <c r="G101" s="9" t="n">
        <v>2</v>
      </c>
      <c r="H101" s="53" t="str">
        <f aca="false">IF(SUMPRODUCT((tl_target=$C101)*(tl_sub=H$4)*(tl_align="Primary"))&gt;0,"P",IF(SUMPRODUCT((tl_target=$C101)*(tl_sub=H$4))&gt;0,"S",""))</f>
        <v/>
      </c>
      <c r="I101" s="53" t="str">
        <f aca="false">IF(SUMPRODUCT((tl_target=$C101)*(tl_sub=I$4)*(tl_align="Primary"))&gt;0,"P",IF(SUMPRODUCT((tl_target=$C101)*(tl_sub=I$4))&gt;0,"S",""))</f>
        <v/>
      </c>
      <c r="J101" s="53" t="str">
        <f aca="false">IF(SUMPRODUCT((tl_target=$C101)*(tl_sub=J$4)*(tl_align="Primary"))&gt;0,"P",IF(SUMPRODUCT((tl_target=$C101)*(tl_sub=J$4))&gt;0,"S",""))</f>
        <v/>
      </c>
      <c r="K101" s="53" t="str">
        <f aca="false">IF(SUMPRODUCT((tl_target=$C101)*(tl_sub=K$4)*(tl_align="Primary"))&gt;0,"P",IF(SUMPRODUCT((tl_target=$C101)*(tl_sub=K$4))&gt;0,"S",""))</f>
        <v/>
      </c>
      <c r="L101" s="53" t="str">
        <f aca="false">IF(SUMPRODUCT((tl_target=$C101)*(tl_sub=L$4)*(tl_align="Primary"))&gt;0,"P",IF(SUMPRODUCT((tl_target=$C101)*(tl_sub=L$4))&gt;0,"S",""))</f>
        <v/>
      </c>
      <c r="M101" s="53" t="str">
        <f aca="false">IF(SUMPRODUCT((tl_target=$C101)*(tl_sub=M$4)*(tl_align="Primary"))&gt;0,"P",IF(SUMPRODUCT((tl_target=$C101)*(tl_sub=M$4))&gt;0,"S",""))</f>
        <v/>
      </c>
      <c r="N101" s="53" t="str">
        <f aca="false">IF(SUMPRODUCT((tl_target=$C101)*(tl_sub=N$4)*(tl_align="Primary"))&gt;0,"P",IF(SUMPRODUCT((tl_target=$C101)*(tl_sub=N$4))&gt;0,"S",""))</f>
        <v/>
      </c>
      <c r="O101" s="53" t="str">
        <f aca="false">IF(SUMPRODUCT((tl_target=$C101)*(tl_sub=O$4)*(tl_align="Primary"))&gt;0,"P",IF(SUMPRODUCT((tl_target=$C101)*(tl_sub=O$4))&gt;0,"S",""))</f>
        <v/>
      </c>
      <c r="P101" s="53" t="str">
        <f aca="false">IF(SUMPRODUCT((tl_target=$C101)*(tl_sub=P$4)*(tl_align="Primary"))&gt;0,"P",IF(SUMPRODUCT((tl_target=$C101)*(tl_sub=P$4))&gt;0,"S",""))</f>
        <v/>
      </c>
      <c r="Q101" s="53" t="str">
        <f aca="false">IF(SUMPRODUCT((tl_target=$C101)*(tl_sub=Q$4)*(tl_align="Primary"))&gt;0,"P",IF(SUMPRODUCT((tl_target=$C101)*(tl_sub=Q$4))&gt;0,"S",""))</f>
        <v/>
      </c>
      <c r="R101" s="69" t="str">
        <f aca="false">_xlfn.TEXTJOIN(", ",TRUE(),IF(SUMPRODUCT((tl_target=$C101)*(tl_principle="PP1"))&gt;0,"PP1",""),IF(SUMPRODUCT((tl_target=$C101)*(tl_principle="PP2"))&gt;0,"PP2",""),IF(SUMPRODUCT((tl_target=$C101)*(tl_principle="PP3"))&gt;0,"PP3",""),IF(SUMPRODUCT((tl_target=$C101)*(tl_principle="PP4"))&gt;0,"PP4",""))</f>
        <v/>
      </c>
      <c r="S101" s="9" t="n">
        <f aca="false">SUMPRODUCT(--(tl_target=$C101))</f>
        <v>0</v>
      </c>
      <c r="T101" s="53" t="str">
        <f aca="false">IF(SUMPRODUCT((tl_target=$C101)*(tl_align="Primary"))&gt;0,"Primary link",IF(S101&gt;0,"Secondary only","Gap"))</f>
        <v>Gap</v>
      </c>
      <c r="U101" s="66"/>
      <c r="V101" s="66"/>
      <c r="W101" s="66"/>
      <c r="X101" s="66"/>
      <c r="Y101" s="66"/>
    </row>
    <row r="102" customFormat="false" ht="35.05" hidden="false" customHeight="false" outlineLevel="0" collapsed="false">
      <c r="A102" s="16" t="n">
        <v>11</v>
      </c>
      <c r="B102" s="5" t="s">
        <v>174</v>
      </c>
      <c r="C102" s="13" t="s">
        <v>251</v>
      </c>
      <c r="D102" s="5" t="s">
        <v>612</v>
      </c>
      <c r="E102" s="5" t="s">
        <v>252</v>
      </c>
      <c r="F102" s="5" t="s">
        <v>253</v>
      </c>
      <c r="G102" s="9" t="n">
        <v>1</v>
      </c>
      <c r="H102" s="53" t="str">
        <f aca="false">IF(SUMPRODUCT((tl_target=$C102)*(tl_sub=H$4)*(tl_align="Primary"))&gt;0,"P",IF(SUMPRODUCT((tl_target=$C102)*(tl_sub=H$4))&gt;0,"S",""))</f>
        <v/>
      </c>
      <c r="I102" s="53" t="str">
        <f aca="false">IF(SUMPRODUCT((tl_target=$C102)*(tl_sub=I$4)*(tl_align="Primary"))&gt;0,"P",IF(SUMPRODUCT((tl_target=$C102)*(tl_sub=I$4))&gt;0,"S",""))</f>
        <v/>
      </c>
      <c r="J102" s="53" t="str">
        <f aca="false">IF(SUMPRODUCT((tl_target=$C102)*(tl_sub=J$4)*(tl_align="Primary"))&gt;0,"P",IF(SUMPRODUCT((tl_target=$C102)*(tl_sub=J$4))&gt;0,"S",""))</f>
        <v/>
      </c>
      <c r="K102" s="53" t="str">
        <f aca="false">IF(SUMPRODUCT((tl_target=$C102)*(tl_sub=K$4)*(tl_align="Primary"))&gt;0,"P",IF(SUMPRODUCT((tl_target=$C102)*(tl_sub=K$4))&gt;0,"S",""))</f>
        <v>P</v>
      </c>
      <c r="L102" s="53" t="str">
        <f aca="false">IF(SUMPRODUCT((tl_target=$C102)*(tl_sub=L$4)*(tl_align="Primary"))&gt;0,"P",IF(SUMPRODUCT((tl_target=$C102)*(tl_sub=L$4))&gt;0,"S",""))</f>
        <v/>
      </c>
      <c r="M102" s="53" t="str">
        <f aca="false">IF(SUMPRODUCT((tl_target=$C102)*(tl_sub=M$4)*(tl_align="Primary"))&gt;0,"P",IF(SUMPRODUCT((tl_target=$C102)*(tl_sub=M$4))&gt;0,"S",""))</f>
        <v>P</v>
      </c>
      <c r="N102" s="53" t="str">
        <f aca="false">IF(SUMPRODUCT((tl_target=$C102)*(tl_sub=N$4)*(tl_align="Primary"))&gt;0,"P",IF(SUMPRODUCT((tl_target=$C102)*(tl_sub=N$4))&gt;0,"S",""))</f>
        <v/>
      </c>
      <c r="O102" s="53" t="str">
        <f aca="false">IF(SUMPRODUCT((tl_target=$C102)*(tl_sub=O$4)*(tl_align="Primary"))&gt;0,"P",IF(SUMPRODUCT((tl_target=$C102)*(tl_sub=O$4))&gt;0,"S",""))</f>
        <v/>
      </c>
      <c r="P102" s="53" t="str">
        <f aca="false">IF(SUMPRODUCT((tl_target=$C102)*(tl_sub=P$4)*(tl_align="Primary"))&gt;0,"P",IF(SUMPRODUCT((tl_target=$C102)*(tl_sub=P$4))&gt;0,"S",""))</f>
        <v/>
      </c>
      <c r="Q102" s="53" t="str">
        <f aca="false">IF(SUMPRODUCT((tl_target=$C102)*(tl_sub=Q$4)*(tl_align="Primary"))&gt;0,"P",IF(SUMPRODUCT((tl_target=$C102)*(tl_sub=Q$4))&gt;0,"S",""))</f>
        <v>S</v>
      </c>
      <c r="R102" s="69" t="str">
        <f aca="false">_xlfn.TEXTJOIN(", ",TRUE(),IF(SUMPRODUCT((tl_target=$C102)*(tl_principle="PP1"))&gt;0,"PP1",""),IF(SUMPRODUCT((tl_target=$C102)*(tl_principle="PP2"))&gt;0,"PP2",""),IF(SUMPRODUCT((tl_target=$C102)*(tl_principle="PP3"))&gt;0,"PP3",""),IF(SUMPRODUCT((tl_target=$C102)*(tl_principle="PP4"))&gt;0,"PP4",""))</f>
        <v>PP2, PP3, PP4</v>
      </c>
      <c r="S102" s="9" t="n">
        <f aca="false">SUMPRODUCT(--(tl_target=$C102))</f>
        <v>3</v>
      </c>
      <c r="T102" s="53" t="str">
        <f aca="false">IF(SUMPRODUCT((tl_target=$C102)*(tl_align="Primary"))&gt;0,"Primary link",IF(S102&gt;0,"Secondary only","Gap"))</f>
        <v>Primary link</v>
      </c>
      <c r="U102" s="66"/>
      <c r="V102" s="66"/>
      <c r="W102" s="66"/>
      <c r="X102" s="66"/>
      <c r="Y102" s="66"/>
    </row>
    <row r="103" customFormat="false" ht="68.65" hidden="false" customHeight="false" outlineLevel="0" collapsed="false">
      <c r="A103" s="16" t="n">
        <v>11</v>
      </c>
      <c r="B103" s="5" t="s">
        <v>174</v>
      </c>
      <c r="C103" s="13" t="s">
        <v>244</v>
      </c>
      <c r="D103" s="5" t="s">
        <v>612</v>
      </c>
      <c r="E103" s="5" t="s">
        <v>245</v>
      </c>
      <c r="F103" s="5" t="s">
        <v>246</v>
      </c>
      <c r="G103" s="9" t="n">
        <v>2</v>
      </c>
      <c r="H103" s="53" t="str">
        <f aca="false">IF(SUMPRODUCT((tl_target=$C103)*(tl_sub=H$4)*(tl_align="Primary"))&gt;0,"P",IF(SUMPRODUCT((tl_target=$C103)*(tl_sub=H$4))&gt;0,"S",""))</f>
        <v/>
      </c>
      <c r="I103" s="53" t="str">
        <f aca="false">IF(SUMPRODUCT((tl_target=$C103)*(tl_sub=I$4)*(tl_align="Primary"))&gt;0,"P",IF(SUMPRODUCT((tl_target=$C103)*(tl_sub=I$4))&gt;0,"S",""))</f>
        <v/>
      </c>
      <c r="J103" s="53" t="str">
        <f aca="false">IF(SUMPRODUCT((tl_target=$C103)*(tl_sub=J$4)*(tl_align="Primary"))&gt;0,"P",IF(SUMPRODUCT((tl_target=$C103)*(tl_sub=J$4))&gt;0,"S",""))</f>
        <v>S</v>
      </c>
      <c r="K103" s="53" t="str">
        <f aca="false">IF(SUMPRODUCT((tl_target=$C103)*(tl_sub=K$4)*(tl_align="Primary"))&gt;0,"P",IF(SUMPRODUCT((tl_target=$C103)*(tl_sub=K$4))&gt;0,"S",""))</f>
        <v/>
      </c>
      <c r="L103" s="53" t="str">
        <f aca="false">IF(SUMPRODUCT((tl_target=$C103)*(tl_sub=L$4)*(tl_align="Primary"))&gt;0,"P",IF(SUMPRODUCT((tl_target=$C103)*(tl_sub=L$4))&gt;0,"S",""))</f>
        <v/>
      </c>
      <c r="M103" s="53" t="str">
        <f aca="false">IF(SUMPRODUCT((tl_target=$C103)*(tl_sub=M$4)*(tl_align="Primary"))&gt;0,"P",IF(SUMPRODUCT((tl_target=$C103)*(tl_sub=M$4))&gt;0,"S",""))</f>
        <v/>
      </c>
      <c r="N103" s="53" t="str">
        <f aca="false">IF(SUMPRODUCT((tl_target=$C103)*(tl_sub=N$4)*(tl_align="Primary"))&gt;0,"P",IF(SUMPRODUCT((tl_target=$C103)*(tl_sub=N$4))&gt;0,"S",""))</f>
        <v/>
      </c>
      <c r="O103" s="53" t="str">
        <f aca="false">IF(SUMPRODUCT((tl_target=$C103)*(tl_sub=O$4)*(tl_align="Primary"))&gt;0,"P",IF(SUMPRODUCT((tl_target=$C103)*(tl_sub=O$4))&gt;0,"S",""))</f>
        <v/>
      </c>
      <c r="P103" s="53" t="str">
        <f aca="false">IF(SUMPRODUCT((tl_target=$C103)*(tl_sub=P$4)*(tl_align="Primary"))&gt;0,"P",IF(SUMPRODUCT((tl_target=$C103)*(tl_sub=P$4))&gt;0,"S",""))</f>
        <v/>
      </c>
      <c r="Q103" s="53" t="str">
        <f aca="false">IF(SUMPRODUCT((tl_target=$C103)*(tl_sub=Q$4)*(tl_align="Primary"))&gt;0,"P",IF(SUMPRODUCT((tl_target=$C103)*(tl_sub=Q$4))&gt;0,"S",""))</f>
        <v/>
      </c>
      <c r="R103" s="69" t="str">
        <f aca="false">_xlfn.TEXTJOIN(", ",TRUE(),IF(SUMPRODUCT((tl_target=$C103)*(tl_principle="PP1"))&gt;0,"PP1",""),IF(SUMPRODUCT((tl_target=$C103)*(tl_principle="PP2"))&gt;0,"PP2",""),IF(SUMPRODUCT((tl_target=$C103)*(tl_principle="PP3"))&gt;0,"PP3",""),IF(SUMPRODUCT((tl_target=$C103)*(tl_principle="PP4"))&gt;0,"PP4",""))</f>
        <v>PP2</v>
      </c>
      <c r="S103" s="9" t="n">
        <f aca="false">SUMPRODUCT(--(tl_target=$C103))</f>
        <v>1</v>
      </c>
      <c r="T103" s="53" t="str">
        <f aca="false">IF(SUMPRODUCT((tl_target=$C103)*(tl_align="Primary"))&gt;0,"Primary link",IF(S103&gt;0,"Secondary only","Gap"))</f>
        <v>Secondary only</v>
      </c>
      <c r="U103" s="66"/>
      <c r="V103" s="66"/>
      <c r="W103" s="66"/>
      <c r="X103" s="66"/>
      <c r="Y103" s="66"/>
    </row>
    <row r="104" customFormat="false" ht="35.05" hidden="false" customHeight="false" outlineLevel="0" collapsed="false">
      <c r="A104" s="16" t="n">
        <v>11</v>
      </c>
      <c r="B104" s="5" t="s">
        <v>174</v>
      </c>
      <c r="C104" s="13" t="s">
        <v>760</v>
      </c>
      <c r="D104" s="5" t="s">
        <v>612</v>
      </c>
      <c r="E104" s="5"/>
      <c r="F104" s="5" t="s">
        <v>761</v>
      </c>
      <c r="G104" s="9" t="n">
        <v>1</v>
      </c>
      <c r="H104" s="53" t="str">
        <f aca="false">IF(SUMPRODUCT((tl_target=$C104)*(tl_sub=H$4)*(tl_align="Primary"))&gt;0,"P",IF(SUMPRODUCT((tl_target=$C104)*(tl_sub=H$4))&gt;0,"S",""))</f>
        <v/>
      </c>
      <c r="I104" s="53" t="str">
        <f aca="false">IF(SUMPRODUCT((tl_target=$C104)*(tl_sub=I$4)*(tl_align="Primary"))&gt;0,"P",IF(SUMPRODUCT((tl_target=$C104)*(tl_sub=I$4))&gt;0,"S",""))</f>
        <v/>
      </c>
      <c r="J104" s="53" t="str">
        <f aca="false">IF(SUMPRODUCT((tl_target=$C104)*(tl_sub=J$4)*(tl_align="Primary"))&gt;0,"P",IF(SUMPRODUCT((tl_target=$C104)*(tl_sub=J$4))&gt;0,"S",""))</f>
        <v/>
      </c>
      <c r="K104" s="53" t="str">
        <f aca="false">IF(SUMPRODUCT((tl_target=$C104)*(tl_sub=K$4)*(tl_align="Primary"))&gt;0,"P",IF(SUMPRODUCT((tl_target=$C104)*(tl_sub=K$4))&gt;0,"S",""))</f>
        <v/>
      </c>
      <c r="L104" s="53" t="str">
        <f aca="false">IF(SUMPRODUCT((tl_target=$C104)*(tl_sub=L$4)*(tl_align="Primary"))&gt;0,"P",IF(SUMPRODUCT((tl_target=$C104)*(tl_sub=L$4))&gt;0,"S",""))</f>
        <v/>
      </c>
      <c r="M104" s="53" t="str">
        <f aca="false">IF(SUMPRODUCT((tl_target=$C104)*(tl_sub=M$4)*(tl_align="Primary"))&gt;0,"P",IF(SUMPRODUCT((tl_target=$C104)*(tl_sub=M$4))&gt;0,"S",""))</f>
        <v/>
      </c>
      <c r="N104" s="53" t="str">
        <f aca="false">IF(SUMPRODUCT((tl_target=$C104)*(tl_sub=N$4)*(tl_align="Primary"))&gt;0,"P",IF(SUMPRODUCT((tl_target=$C104)*(tl_sub=N$4))&gt;0,"S",""))</f>
        <v/>
      </c>
      <c r="O104" s="53" t="str">
        <f aca="false">IF(SUMPRODUCT((tl_target=$C104)*(tl_sub=O$4)*(tl_align="Primary"))&gt;0,"P",IF(SUMPRODUCT((tl_target=$C104)*(tl_sub=O$4))&gt;0,"S",""))</f>
        <v/>
      </c>
      <c r="P104" s="53" t="str">
        <f aca="false">IF(SUMPRODUCT((tl_target=$C104)*(tl_sub=P$4)*(tl_align="Primary"))&gt;0,"P",IF(SUMPRODUCT((tl_target=$C104)*(tl_sub=P$4))&gt;0,"S",""))</f>
        <v/>
      </c>
      <c r="Q104" s="53" t="str">
        <f aca="false">IF(SUMPRODUCT((tl_target=$C104)*(tl_sub=Q$4)*(tl_align="Primary"))&gt;0,"P",IF(SUMPRODUCT((tl_target=$C104)*(tl_sub=Q$4))&gt;0,"S",""))</f>
        <v/>
      </c>
      <c r="R104" s="69" t="str">
        <f aca="false">_xlfn.TEXTJOIN(", ",TRUE(),IF(SUMPRODUCT((tl_target=$C104)*(tl_principle="PP1"))&gt;0,"PP1",""),IF(SUMPRODUCT((tl_target=$C104)*(tl_principle="PP2"))&gt;0,"PP2",""),IF(SUMPRODUCT((tl_target=$C104)*(tl_principle="PP3"))&gt;0,"PP3",""),IF(SUMPRODUCT((tl_target=$C104)*(tl_principle="PP4"))&gt;0,"PP4",""))</f>
        <v/>
      </c>
      <c r="S104" s="9" t="n">
        <f aca="false">SUMPRODUCT(--(tl_target=$C104))</f>
        <v>0</v>
      </c>
      <c r="T104" s="53" t="str">
        <f aca="false">IF(SUMPRODUCT((tl_target=$C104)*(tl_align="Primary"))&gt;0,"Primary link",IF(S104&gt;0,"Secondary only","Gap"))</f>
        <v>Gap</v>
      </c>
      <c r="U104" s="66"/>
      <c r="V104" s="66"/>
      <c r="W104" s="66"/>
      <c r="X104" s="66"/>
      <c r="Y104" s="66"/>
    </row>
    <row r="105" customFormat="false" ht="46.25" hidden="false" customHeight="false" outlineLevel="0" collapsed="false">
      <c r="A105" s="17" t="n">
        <v>12</v>
      </c>
      <c r="B105" s="5" t="s">
        <v>180</v>
      </c>
      <c r="C105" s="13" t="s">
        <v>762</v>
      </c>
      <c r="D105" s="5" t="s">
        <v>499</v>
      </c>
      <c r="E105" s="5"/>
      <c r="F105" s="5" t="s">
        <v>763</v>
      </c>
      <c r="G105" s="9" t="n">
        <v>1</v>
      </c>
      <c r="H105" s="53" t="str">
        <f aca="false">IF(SUMPRODUCT((tl_target=$C105)*(tl_sub=H$4)*(tl_align="Primary"))&gt;0,"P",IF(SUMPRODUCT((tl_target=$C105)*(tl_sub=H$4))&gt;0,"S",""))</f>
        <v/>
      </c>
      <c r="I105" s="53" t="str">
        <f aca="false">IF(SUMPRODUCT((tl_target=$C105)*(tl_sub=I$4)*(tl_align="Primary"))&gt;0,"P",IF(SUMPRODUCT((tl_target=$C105)*(tl_sub=I$4))&gt;0,"S",""))</f>
        <v/>
      </c>
      <c r="J105" s="53" t="str">
        <f aca="false">IF(SUMPRODUCT((tl_target=$C105)*(tl_sub=J$4)*(tl_align="Primary"))&gt;0,"P",IF(SUMPRODUCT((tl_target=$C105)*(tl_sub=J$4))&gt;0,"S",""))</f>
        <v/>
      </c>
      <c r="K105" s="53" t="str">
        <f aca="false">IF(SUMPRODUCT((tl_target=$C105)*(tl_sub=K$4)*(tl_align="Primary"))&gt;0,"P",IF(SUMPRODUCT((tl_target=$C105)*(tl_sub=K$4))&gt;0,"S",""))</f>
        <v/>
      </c>
      <c r="L105" s="53" t="str">
        <f aca="false">IF(SUMPRODUCT((tl_target=$C105)*(tl_sub=L$4)*(tl_align="Primary"))&gt;0,"P",IF(SUMPRODUCT((tl_target=$C105)*(tl_sub=L$4))&gt;0,"S",""))</f>
        <v/>
      </c>
      <c r="M105" s="53" t="str">
        <f aca="false">IF(SUMPRODUCT((tl_target=$C105)*(tl_sub=M$4)*(tl_align="Primary"))&gt;0,"P",IF(SUMPRODUCT((tl_target=$C105)*(tl_sub=M$4))&gt;0,"S",""))</f>
        <v/>
      </c>
      <c r="N105" s="53" t="str">
        <f aca="false">IF(SUMPRODUCT((tl_target=$C105)*(tl_sub=N$4)*(tl_align="Primary"))&gt;0,"P",IF(SUMPRODUCT((tl_target=$C105)*(tl_sub=N$4))&gt;0,"S",""))</f>
        <v/>
      </c>
      <c r="O105" s="53" t="str">
        <f aca="false">IF(SUMPRODUCT((tl_target=$C105)*(tl_sub=O$4)*(tl_align="Primary"))&gt;0,"P",IF(SUMPRODUCT((tl_target=$C105)*(tl_sub=O$4))&gt;0,"S",""))</f>
        <v/>
      </c>
      <c r="P105" s="53" t="str">
        <f aca="false">IF(SUMPRODUCT((tl_target=$C105)*(tl_sub=P$4)*(tl_align="Primary"))&gt;0,"P",IF(SUMPRODUCT((tl_target=$C105)*(tl_sub=P$4))&gt;0,"S",""))</f>
        <v/>
      </c>
      <c r="Q105" s="53" t="str">
        <f aca="false">IF(SUMPRODUCT((tl_target=$C105)*(tl_sub=Q$4)*(tl_align="Primary"))&gt;0,"P",IF(SUMPRODUCT((tl_target=$C105)*(tl_sub=Q$4))&gt;0,"S",""))</f>
        <v/>
      </c>
      <c r="R105" s="69" t="str">
        <f aca="false">_xlfn.TEXTJOIN(", ",TRUE(),IF(SUMPRODUCT((tl_target=$C105)*(tl_principle="PP1"))&gt;0,"PP1",""),IF(SUMPRODUCT((tl_target=$C105)*(tl_principle="PP2"))&gt;0,"PP2",""),IF(SUMPRODUCT((tl_target=$C105)*(tl_principle="PP3"))&gt;0,"PP3",""),IF(SUMPRODUCT((tl_target=$C105)*(tl_principle="PP4"))&gt;0,"PP4",""))</f>
        <v/>
      </c>
      <c r="S105" s="9" t="n">
        <f aca="false">SUMPRODUCT(--(tl_target=$C105))</f>
        <v>0</v>
      </c>
      <c r="T105" s="53" t="str">
        <f aca="false">IF(SUMPRODUCT((tl_target=$C105)*(tl_align="Primary"))&gt;0,"Primary link",IF(S105&gt;0,"Secondary only","Gap"))</f>
        <v>Gap</v>
      </c>
      <c r="U105" s="66"/>
      <c r="V105" s="66"/>
      <c r="W105" s="66"/>
      <c r="X105" s="66"/>
      <c r="Y105" s="66"/>
    </row>
    <row r="106" customFormat="false" ht="23.85" hidden="false" customHeight="false" outlineLevel="0" collapsed="false">
      <c r="A106" s="17" t="n">
        <v>12</v>
      </c>
      <c r="B106" s="5" t="s">
        <v>180</v>
      </c>
      <c r="C106" s="13" t="s">
        <v>181</v>
      </c>
      <c r="D106" s="5" t="s">
        <v>499</v>
      </c>
      <c r="E106" s="5" t="s">
        <v>182</v>
      </c>
      <c r="F106" s="5" t="s">
        <v>183</v>
      </c>
      <c r="G106" s="9" t="n">
        <v>2</v>
      </c>
      <c r="H106" s="53" t="str">
        <f aca="false">IF(SUMPRODUCT((tl_target=$C106)*(tl_sub=H$4)*(tl_align="Primary"))&gt;0,"P",IF(SUMPRODUCT((tl_target=$C106)*(tl_sub=H$4))&gt;0,"S",""))</f>
        <v>S</v>
      </c>
      <c r="I106" s="53" t="str">
        <f aca="false">IF(SUMPRODUCT((tl_target=$C106)*(tl_sub=I$4)*(tl_align="Primary"))&gt;0,"P",IF(SUMPRODUCT((tl_target=$C106)*(tl_sub=I$4))&gt;0,"S",""))</f>
        <v/>
      </c>
      <c r="J106" s="53" t="str">
        <f aca="false">IF(SUMPRODUCT((tl_target=$C106)*(tl_sub=J$4)*(tl_align="Primary"))&gt;0,"P",IF(SUMPRODUCT((tl_target=$C106)*(tl_sub=J$4))&gt;0,"S",""))</f>
        <v>S</v>
      </c>
      <c r="K106" s="53" t="str">
        <f aca="false">IF(SUMPRODUCT((tl_target=$C106)*(tl_sub=K$4)*(tl_align="Primary"))&gt;0,"P",IF(SUMPRODUCT((tl_target=$C106)*(tl_sub=K$4))&gt;0,"S",""))</f>
        <v/>
      </c>
      <c r="L106" s="53" t="str">
        <f aca="false">IF(SUMPRODUCT((tl_target=$C106)*(tl_sub=L$4)*(tl_align="Primary"))&gt;0,"P",IF(SUMPRODUCT((tl_target=$C106)*(tl_sub=L$4))&gt;0,"S",""))</f>
        <v>P</v>
      </c>
      <c r="M106" s="53" t="str">
        <f aca="false">IF(SUMPRODUCT((tl_target=$C106)*(tl_sub=M$4)*(tl_align="Primary"))&gt;0,"P",IF(SUMPRODUCT((tl_target=$C106)*(tl_sub=M$4))&gt;0,"S",""))</f>
        <v/>
      </c>
      <c r="N106" s="53" t="str">
        <f aca="false">IF(SUMPRODUCT((tl_target=$C106)*(tl_sub=N$4)*(tl_align="Primary"))&gt;0,"P",IF(SUMPRODUCT((tl_target=$C106)*(tl_sub=N$4))&gt;0,"S",""))</f>
        <v/>
      </c>
      <c r="O106" s="53" t="str">
        <f aca="false">IF(SUMPRODUCT((tl_target=$C106)*(tl_sub=O$4)*(tl_align="Primary"))&gt;0,"P",IF(SUMPRODUCT((tl_target=$C106)*(tl_sub=O$4))&gt;0,"S",""))</f>
        <v/>
      </c>
      <c r="P106" s="53" t="str">
        <f aca="false">IF(SUMPRODUCT((tl_target=$C106)*(tl_sub=P$4)*(tl_align="Primary"))&gt;0,"P",IF(SUMPRODUCT((tl_target=$C106)*(tl_sub=P$4))&gt;0,"S",""))</f>
        <v/>
      </c>
      <c r="Q106" s="53" t="str">
        <f aca="false">IF(SUMPRODUCT((tl_target=$C106)*(tl_sub=Q$4)*(tl_align="Primary"))&gt;0,"P",IF(SUMPRODUCT((tl_target=$C106)*(tl_sub=Q$4))&gt;0,"S",""))</f>
        <v/>
      </c>
      <c r="R106" s="69" t="str">
        <f aca="false">_xlfn.TEXTJOIN(", ",TRUE(),IF(SUMPRODUCT((tl_target=$C106)*(tl_principle="PP1"))&gt;0,"PP1",""),IF(SUMPRODUCT((tl_target=$C106)*(tl_principle="PP2"))&gt;0,"PP2",""),IF(SUMPRODUCT((tl_target=$C106)*(tl_principle="PP3"))&gt;0,"PP3",""),IF(SUMPRODUCT((tl_target=$C106)*(tl_principle="PP4"))&gt;0,"PP4",""))</f>
        <v>PP1, PP2</v>
      </c>
      <c r="S106" s="9" t="n">
        <f aca="false">SUMPRODUCT(--(tl_target=$C106))</f>
        <v>3</v>
      </c>
      <c r="T106" s="53" t="str">
        <f aca="false">IF(SUMPRODUCT((tl_target=$C106)*(tl_align="Primary"))&gt;0,"Primary link",IF(S106&gt;0,"Secondary only","Gap"))</f>
        <v>Primary link</v>
      </c>
      <c r="U106" s="66"/>
      <c r="V106" s="66"/>
      <c r="W106" s="66"/>
      <c r="X106" s="66"/>
      <c r="Y106" s="66"/>
    </row>
    <row r="107" customFormat="false" ht="35.05" hidden="false" customHeight="false" outlineLevel="0" collapsed="false">
      <c r="A107" s="17" t="n">
        <v>12</v>
      </c>
      <c r="B107" s="5" t="s">
        <v>180</v>
      </c>
      <c r="C107" s="13" t="s">
        <v>764</v>
      </c>
      <c r="D107" s="5" t="s">
        <v>499</v>
      </c>
      <c r="E107" s="5"/>
      <c r="F107" s="5" t="s">
        <v>765</v>
      </c>
      <c r="G107" s="9" t="n">
        <v>1</v>
      </c>
      <c r="H107" s="53" t="str">
        <f aca="false">IF(SUMPRODUCT((tl_target=$C107)*(tl_sub=H$4)*(tl_align="Primary"))&gt;0,"P",IF(SUMPRODUCT((tl_target=$C107)*(tl_sub=H$4))&gt;0,"S",""))</f>
        <v/>
      </c>
      <c r="I107" s="53" t="str">
        <f aca="false">IF(SUMPRODUCT((tl_target=$C107)*(tl_sub=I$4)*(tl_align="Primary"))&gt;0,"P",IF(SUMPRODUCT((tl_target=$C107)*(tl_sub=I$4))&gt;0,"S",""))</f>
        <v/>
      </c>
      <c r="J107" s="53" t="str">
        <f aca="false">IF(SUMPRODUCT((tl_target=$C107)*(tl_sub=J$4)*(tl_align="Primary"))&gt;0,"P",IF(SUMPRODUCT((tl_target=$C107)*(tl_sub=J$4))&gt;0,"S",""))</f>
        <v/>
      </c>
      <c r="K107" s="53" t="str">
        <f aca="false">IF(SUMPRODUCT((tl_target=$C107)*(tl_sub=K$4)*(tl_align="Primary"))&gt;0,"P",IF(SUMPRODUCT((tl_target=$C107)*(tl_sub=K$4))&gt;0,"S",""))</f>
        <v/>
      </c>
      <c r="L107" s="53" t="str">
        <f aca="false">IF(SUMPRODUCT((tl_target=$C107)*(tl_sub=L$4)*(tl_align="Primary"))&gt;0,"P",IF(SUMPRODUCT((tl_target=$C107)*(tl_sub=L$4))&gt;0,"S",""))</f>
        <v/>
      </c>
      <c r="M107" s="53" t="str">
        <f aca="false">IF(SUMPRODUCT((tl_target=$C107)*(tl_sub=M$4)*(tl_align="Primary"))&gt;0,"P",IF(SUMPRODUCT((tl_target=$C107)*(tl_sub=M$4))&gt;0,"S",""))</f>
        <v/>
      </c>
      <c r="N107" s="53" t="str">
        <f aca="false">IF(SUMPRODUCT((tl_target=$C107)*(tl_sub=N$4)*(tl_align="Primary"))&gt;0,"P",IF(SUMPRODUCT((tl_target=$C107)*(tl_sub=N$4))&gt;0,"S",""))</f>
        <v/>
      </c>
      <c r="O107" s="53" t="str">
        <f aca="false">IF(SUMPRODUCT((tl_target=$C107)*(tl_sub=O$4)*(tl_align="Primary"))&gt;0,"P",IF(SUMPRODUCT((tl_target=$C107)*(tl_sub=O$4))&gt;0,"S",""))</f>
        <v/>
      </c>
      <c r="P107" s="53" t="str">
        <f aca="false">IF(SUMPRODUCT((tl_target=$C107)*(tl_sub=P$4)*(tl_align="Primary"))&gt;0,"P",IF(SUMPRODUCT((tl_target=$C107)*(tl_sub=P$4))&gt;0,"S",""))</f>
        <v/>
      </c>
      <c r="Q107" s="53" t="str">
        <f aca="false">IF(SUMPRODUCT((tl_target=$C107)*(tl_sub=Q$4)*(tl_align="Primary"))&gt;0,"P",IF(SUMPRODUCT((tl_target=$C107)*(tl_sub=Q$4))&gt;0,"S",""))</f>
        <v/>
      </c>
      <c r="R107" s="69" t="str">
        <f aca="false">_xlfn.TEXTJOIN(", ",TRUE(),IF(SUMPRODUCT((tl_target=$C107)*(tl_principle="PP1"))&gt;0,"PP1",""),IF(SUMPRODUCT((tl_target=$C107)*(tl_principle="PP2"))&gt;0,"PP2",""),IF(SUMPRODUCT((tl_target=$C107)*(tl_principle="PP3"))&gt;0,"PP3",""),IF(SUMPRODUCT((tl_target=$C107)*(tl_principle="PP4"))&gt;0,"PP4",""))</f>
        <v/>
      </c>
      <c r="S107" s="9" t="n">
        <f aca="false">SUMPRODUCT(--(tl_target=$C107))</f>
        <v>0</v>
      </c>
      <c r="T107" s="53" t="str">
        <f aca="false">IF(SUMPRODUCT((tl_target=$C107)*(tl_align="Primary"))&gt;0,"Primary link",IF(S107&gt;0,"Secondary only","Gap"))</f>
        <v>Gap</v>
      </c>
      <c r="U107" s="66"/>
      <c r="V107" s="66"/>
      <c r="W107" s="66"/>
      <c r="X107" s="66"/>
      <c r="Y107" s="66"/>
    </row>
    <row r="108" customFormat="false" ht="46.25" hidden="false" customHeight="false" outlineLevel="0" collapsed="false">
      <c r="A108" s="17" t="n">
        <v>12</v>
      </c>
      <c r="B108" s="5" t="s">
        <v>180</v>
      </c>
      <c r="C108" s="13" t="s">
        <v>766</v>
      </c>
      <c r="D108" s="5" t="s">
        <v>499</v>
      </c>
      <c r="E108" s="5"/>
      <c r="F108" s="5" t="s">
        <v>767</v>
      </c>
      <c r="G108" s="9" t="n">
        <v>2</v>
      </c>
      <c r="H108" s="53" t="str">
        <f aca="false">IF(SUMPRODUCT((tl_target=$C108)*(tl_sub=H$4)*(tl_align="Primary"))&gt;0,"P",IF(SUMPRODUCT((tl_target=$C108)*(tl_sub=H$4))&gt;0,"S",""))</f>
        <v/>
      </c>
      <c r="I108" s="53" t="str">
        <f aca="false">IF(SUMPRODUCT((tl_target=$C108)*(tl_sub=I$4)*(tl_align="Primary"))&gt;0,"P",IF(SUMPRODUCT((tl_target=$C108)*(tl_sub=I$4))&gt;0,"S",""))</f>
        <v/>
      </c>
      <c r="J108" s="53" t="str">
        <f aca="false">IF(SUMPRODUCT((tl_target=$C108)*(tl_sub=J$4)*(tl_align="Primary"))&gt;0,"P",IF(SUMPRODUCT((tl_target=$C108)*(tl_sub=J$4))&gt;0,"S",""))</f>
        <v/>
      </c>
      <c r="K108" s="53" t="str">
        <f aca="false">IF(SUMPRODUCT((tl_target=$C108)*(tl_sub=K$4)*(tl_align="Primary"))&gt;0,"P",IF(SUMPRODUCT((tl_target=$C108)*(tl_sub=K$4))&gt;0,"S",""))</f>
        <v/>
      </c>
      <c r="L108" s="53" t="str">
        <f aca="false">IF(SUMPRODUCT((tl_target=$C108)*(tl_sub=L$4)*(tl_align="Primary"))&gt;0,"P",IF(SUMPRODUCT((tl_target=$C108)*(tl_sub=L$4))&gt;0,"S",""))</f>
        <v/>
      </c>
      <c r="M108" s="53" t="str">
        <f aca="false">IF(SUMPRODUCT((tl_target=$C108)*(tl_sub=M$4)*(tl_align="Primary"))&gt;0,"P",IF(SUMPRODUCT((tl_target=$C108)*(tl_sub=M$4))&gt;0,"S",""))</f>
        <v/>
      </c>
      <c r="N108" s="53" t="str">
        <f aca="false">IF(SUMPRODUCT((tl_target=$C108)*(tl_sub=N$4)*(tl_align="Primary"))&gt;0,"P",IF(SUMPRODUCT((tl_target=$C108)*(tl_sub=N$4))&gt;0,"S",""))</f>
        <v/>
      </c>
      <c r="O108" s="53" t="str">
        <f aca="false">IF(SUMPRODUCT((tl_target=$C108)*(tl_sub=O$4)*(tl_align="Primary"))&gt;0,"P",IF(SUMPRODUCT((tl_target=$C108)*(tl_sub=O$4))&gt;0,"S",""))</f>
        <v/>
      </c>
      <c r="P108" s="53" t="str">
        <f aca="false">IF(SUMPRODUCT((tl_target=$C108)*(tl_sub=P$4)*(tl_align="Primary"))&gt;0,"P",IF(SUMPRODUCT((tl_target=$C108)*(tl_sub=P$4))&gt;0,"S",""))</f>
        <v/>
      </c>
      <c r="Q108" s="53" t="str">
        <f aca="false">IF(SUMPRODUCT((tl_target=$C108)*(tl_sub=Q$4)*(tl_align="Primary"))&gt;0,"P",IF(SUMPRODUCT((tl_target=$C108)*(tl_sub=Q$4))&gt;0,"S",""))</f>
        <v/>
      </c>
      <c r="R108" s="69" t="str">
        <f aca="false">_xlfn.TEXTJOIN(", ",TRUE(),IF(SUMPRODUCT((tl_target=$C108)*(tl_principle="PP1"))&gt;0,"PP1",""),IF(SUMPRODUCT((tl_target=$C108)*(tl_principle="PP2"))&gt;0,"PP2",""),IF(SUMPRODUCT((tl_target=$C108)*(tl_principle="PP3"))&gt;0,"PP3",""),IF(SUMPRODUCT((tl_target=$C108)*(tl_principle="PP4"))&gt;0,"PP4",""))</f>
        <v/>
      </c>
      <c r="S108" s="9" t="n">
        <f aca="false">SUMPRODUCT(--(tl_target=$C108))</f>
        <v>0</v>
      </c>
      <c r="T108" s="53" t="str">
        <f aca="false">IF(SUMPRODUCT((tl_target=$C108)*(tl_align="Primary"))&gt;0,"Primary link",IF(S108&gt;0,"Secondary only","Gap"))</f>
        <v>Gap</v>
      </c>
      <c r="U108" s="66"/>
      <c r="V108" s="66"/>
      <c r="W108" s="66"/>
      <c r="X108" s="66"/>
      <c r="Y108" s="66"/>
    </row>
    <row r="109" customFormat="false" ht="23.85" hidden="false" customHeight="false" outlineLevel="0" collapsed="false">
      <c r="A109" s="17" t="n">
        <v>12</v>
      </c>
      <c r="B109" s="5" t="s">
        <v>180</v>
      </c>
      <c r="C109" s="13" t="s">
        <v>768</v>
      </c>
      <c r="D109" s="5" t="s">
        <v>499</v>
      </c>
      <c r="E109" s="5"/>
      <c r="F109" s="5" t="s">
        <v>769</v>
      </c>
      <c r="G109" s="9" t="n">
        <v>1</v>
      </c>
      <c r="H109" s="53" t="str">
        <f aca="false">IF(SUMPRODUCT((tl_target=$C109)*(tl_sub=H$4)*(tl_align="Primary"))&gt;0,"P",IF(SUMPRODUCT((tl_target=$C109)*(tl_sub=H$4))&gt;0,"S",""))</f>
        <v/>
      </c>
      <c r="I109" s="53" t="str">
        <f aca="false">IF(SUMPRODUCT((tl_target=$C109)*(tl_sub=I$4)*(tl_align="Primary"))&gt;0,"P",IF(SUMPRODUCT((tl_target=$C109)*(tl_sub=I$4))&gt;0,"S",""))</f>
        <v/>
      </c>
      <c r="J109" s="53" t="str">
        <f aca="false">IF(SUMPRODUCT((tl_target=$C109)*(tl_sub=J$4)*(tl_align="Primary"))&gt;0,"P",IF(SUMPRODUCT((tl_target=$C109)*(tl_sub=J$4))&gt;0,"S",""))</f>
        <v/>
      </c>
      <c r="K109" s="53" t="str">
        <f aca="false">IF(SUMPRODUCT((tl_target=$C109)*(tl_sub=K$4)*(tl_align="Primary"))&gt;0,"P",IF(SUMPRODUCT((tl_target=$C109)*(tl_sub=K$4))&gt;0,"S",""))</f>
        <v/>
      </c>
      <c r="L109" s="53" t="str">
        <f aca="false">IF(SUMPRODUCT((tl_target=$C109)*(tl_sub=L$4)*(tl_align="Primary"))&gt;0,"P",IF(SUMPRODUCT((tl_target=$C109)*(tl_sub=L$4))&gt;0,"S",""))</f>
        <v/>
      </c>
      <c r="M109" s="53" t="str">
        <f aca="false">IF(SUMPRODUCT((tl_target=$C109)*(tl_sub=M$4)*(tl_align="Primary"))&gt;0,"P",IF(SUMPRODUCT((tl_target=$C109)*(tl_sub=M$4))&gt;0,"S",""))</f>
        <v/>
      </c>
      <c r="N109" s="53" t="str">
        <f aca="false">IF(SUMPRODUCT((tl_target=$C109)*(tl_sub=N$4)*(tl_align="Primary"))&gt;0,"P",IF(SUMPRODUCT((tl_target=$C109)*(tl_sub=N$4))&gt;0,"S",""))</f>
        <v/>
      </c>
      <c r="O109" s="53" t="str">
        <f aca="false">IF(SUMPRODUCT((tl_target=$C109)*(tl_sub=O$4)*(tl_align="Primary"))&gt;0,"P",IF(SUMPRODUCT((tl_target=$C109)*(tl_sub=O$4))&gt;0,"S",""))</f>
        <v/>
      </c>
      <c r="P109" s="53" t="str">
        <f aca="false">IF(SUMPRODUCT((tl_target=$C109)*(tl_sub=P$4)*(tl_align="Primary"))&gt;0,"P",IF(SUMPRODUCT((tl_target=$C109)*(tl_sub=P$4))&gt;0,"S",""))</f>
        <v/>
      </c>
      <c r="Q109" s="53" t="str">
        <f aca="false">IF(SUMPRODUCT((tl_target=$C109)*(tl_sub=Q$4)*(tl_align="Primary"))&gt;0,"P",IF(SUMPRODUCT((tl_target=$C109)*(tl_sub=Q$4))&gt;0,"S",""))</f>
        <v/>
      </c>
      <c r="R109" s="69" t="str">
        <f aca="false">_xlfn.TEXTJOIN(", ",TRUE(),IF(SUMPRODUCT((tl_target=$C109)*(tl_principle="PP1"))&gt;0,"PP1",""),IF(SUMPRODUCT((tl_target=$C109)*(tl_principle="PP2"))&gt;0,"PP2",""),IF(SUMPRODUCT((tl_target=$C109)*(tl_principle="PP3"))&gt;0,"PP3",""),IF(SUMPRODUCT((tl_target=$C109)*(tl_principle="PP4"))&gt;0,"PP4",""))</f>
        <v/>
      </c>
      <c r="S109" s="9" t="n">
        <f aca="false">SUMPRODUCT(--(tl_target=$C109))</f>
        <v>0</v>
      </c>
      <c r="T109" s="53" t="str">
        <f aca="false">IF(SUMPRODUCT((tl_target=$C109)*(tl_align="Primary"))&gt;0,"Primary link",IF(S109&gt;0,"Secondary only","Gap"))</f>
        <v>Gap</v>
      </c>
      <c r="U109" s="66"/>
      <c r="V109" s="66"/>
      <c r="W109" s="66"/>
      <c r="X109" s="66"/>
      <c r="Y109" s="66"/>
    </row>
    <row r="110" customFormat="false" ht="35.05" hidden="false" customHeight="false" outlineLevel="0" collapsed="false">
      <c r="A110" s="17" t="n">
        <v>12</v>
      </c>
      <c r="B110" s="5" t="s">
        <v>180</v>
      </c>
      <c r="C110" s="13" t="s">
        <v>770</v>
      </c>
      <c r="D110" s="5" t="s">
        <v>499</v>
      </c>
      <c r="E110" s="5"/>
      <c r="F110" s="5" t="s">
        <v>771</v>
      </c>
      <c r="G110" s="9" t="n">
        <v>1</v>
      </c>
      <c r="H110" s="53" t="str">
        <f aca="false">IF(SUMPRODUCT((tl_target=$C110)*(tl_sub=H$4)*(tl_align="Primary"))&gt;0,"P",IF(SUMPRODUCT((tl_target=$C110)*(tl_sub=H$4))&gt;0,"S",""))</f>
        <v/>
      </c>
      <c r="I110" s="53" t="str">
        <f aca="false">IF(SUMPRODUCT((tl_target=$C110)*(tl_sub=I$4)*(tl_align="Primary"))&gt;0,"P",IF(SUMPRODUCT((tl_target=$C110)*(tl_sub=I$4))&gt;0,"S",""))</f>
        <v/>
      </c>
      <c r="J110" s="53" t="str">
        <f aca="false">IF(SUMPRODUCT((tl_target=$C110)*(tl_sub=J$4)*(tl_align="Primary"))&gt;0,"P",IF(SUMPRODUCT((tl_target=$C110)*(tl_sub=J$4))&gt;0,"S",""))</f>
        <v/>
      </c>
      <c r="K110" s="53" t="str">
        <f aca="false">IF(SUMPRODUCT((tl_target=$C110)*(tl_sub=K$4)*(tl_align="Primary"))&gt;0,"P",IF(SUMPRODUCT((tl_target=$C110)*(tl_sub=K$4))&gt;0,"S",""))</f>
        <v/>
      </c>
      <c r="L110" s="53" t="str">
        <f aca="false">IF(SUMPRODUCT((tl_target=$C110)*(tl_sub=L$4)*(tl_align="Primary"))&gt;0,"P",IF(SUMPRODUCT((tl_target=$C110)*(tl_sub=L$4))&gt;0,"S",""))</f>
        <v/>
      </c>
      <c r="M110" s="53" t="str">
        <f aca="false">IF(SUMPRODUCT((tl_target=$C110)*(tl_sub=M$4)*(tl_align="Primary"))&gt;0,"P",IF(SUMPRODUCT((tl_target=$C110)*(tl_sub=M$4))&gt;0,"S",""))</f>
        <v/>
      </c>
      <c r="N110" s="53" t="str">
        <f aca="false">IF(SUMPRODUCT((tl_target=$C110)*(tl_sub=N$4)*(tl_align="Primary"))&gt;0,"P",IF(SUMPRODUCT((tl_target=$C110)*(tl_sub=N$4))&gt;0,"S",""))</f>
        <v/>
      </c>
      <c r="O110" s="53" t="str">
        <f aca="false">IF(SUMPRODUCT((tl_target=$C110)*(tl_sub=O$4)*(tl_align="Primary"))&gt;0,"P",IF(SUMPRODUCT((tl_target=$C110)*(tl_sub=O$4))&gt;0,"S",""))</f>
        <v/>
      </c>
      <c r="P110" s="53" t="str">
        <f aca="false">IF(SUMPRODUCT((tl_target=$C110)*(tl_sub=P$4)*(tl_align="Primary"))&gt;0,"P",IF(SUMPRODUCT((tl_target=$C110)*(tl_sub=P$4))&gt;0,"S",""))</f>
        <v/>
      </c>
      <c r="Q110" s="53" t="str">
        <f aca="false">IF(SUMPRODUCT((tl_target=$C110)*(tl_sub=Q$4)*(tl_align="Primary"))&gt;0,"P",IF(SUMPRODUCT((tl_target=$C110)*(tl_sub=Q$4))&gt;0,"S",""))</f>
        <v/>
      </c>
      <c r="R110" s="69" t="str">
        <f aca="false">_xlfn.TEXTJOIN(", ",TRUE(),IF(SUMPRODUCT((tl_target=$C110)*(tl_principle="PP1"))&gt;0,"PP1",""),IF(SUMPRODUCT((tl_target=$C110)*(tl_principle="PP2"))&gt;0,"PP2",""),IF(SUMPRODUCT((tl_target=$C110)*(tl_principle="PP3"))&gt;0,"PP3",""),IF(SUMPRODUCT((tl_target=$C110)*(tl_principle="PP4"))&gt;0,"PP4",""))</f>
        <v/>
      </c>
      <c r="S110" s="9" t="n">
        <f aca="false">SUMPRODUCT(--(tl_target=$C110))</f>
        <v>0</v>
      </c>
      <c r="T110" s="53" t="str">
        <f aca="false">IF(SUMPRODUCT((tl_target=$C110)*(tl_align="Primary"))&gt;0,"Primary link",IF(S110&gt;0,"Secondary only","Gap"))</f>
        <v>Gap</v>
      </c>
      <c r="U110" s="66"/>
      <c r="V110" s="66"/>
      <c r="W110" s="66"/>
      <c r="X110" s="66"/>
      <c r="Y110" s="66"/>
    </row>
    <row r="111" customFormat="false" ht="23.85" hidden="false" customHeight="false" outlineLevel="0" collapsed="false">
      <c r="A111" s="17" t="n">
        <v>12</v>
      </c>
      <c r="B111" s="5" t="s">
        <v>180</v>
      </c>
      <c r="C111" s="13" t="s">
        <v>274</v>
      </c>
      <c r="D111" s="5" t="s">
        <v>499</v>
      </c>
      <c r="E111" s="5" t="s">
        <v>275</v>
      </c>
      <c r="F111" s="5" t="s">
        <v>276</v>
      </c>
      <c r="G111" s="9" t="n">
        <v>1</v>
      </c>
      <c r="H111" s="53" t="str">
        <f aca="false">IF(SUMPRODUCT((tl_target=$C111)*(tl_sub=H$4)*(tl_align="Primary"))&gt;0,"P",IF(SUMPRODUCT((tl_target=$C111)*(tl_sub=H$4))&gt;0,"S",""))</f>
        <v/>
      </c>
      <c r="I111" s="53" t="str">
        <f aca="false">IF(SUMPRODUCT((tl_target=$C111)*(tl_sub=I$4)*(tl_align="Primary"))&gt;0,"P",IF(SUMPRODUCT((tl_target=$C111)*(tl_sub=I$4))&gt;0,"S",""))</f>
        <v/>
      </c>
      <c r="J111" s="53" t="str">
        <f aca="false">IF(SUMPRODUCT((tl_target=$C111)*(tl_sub=J$4)*(tl_align="Primary"))&gt;0,"P",IF(SUMPRODUCT((tl_target=$C111)*(tl_sub=J$4))&gt;0,"S",""))</f>
        <v/>
      </c>
      <c r="K111" s="53" t="str">
        <f aca="false">IF(SUMPRODUCT((tl_target=$C111)*(tl_sub=K$4)*(tl_align="Primary"))&gt;0,"P",IF(SUMPRODUCT((tl_target=$C111)*(tl_sub=K$4))&gt;0,"S",""))</f>
        <v/>
      </c>
      <c r="L111" s="53" t="str">
        <f aca="false">IF(SUMPRODUCT((tl_target=$C111)*(tl_sub=L$4)*(tl_align="Primary"))&gt;0,"P",IF(SUMPRODUCT((tl_target=$C111)*(tl_sub=L$4))&gt;0,"S",""))</f>
        <v>P</v>
      </c>
      <c r="M111" s="53" t="str">
        <f aca="false">IF(SUMPRODUCT((tl_target=$C111)*(tl_sub=M$4)*(tl_align="Primary"))&gt;0,"P",IF(SUMPRODUCT((tl_target=$C111)*(tl_sub=M$4))&gt;0,"S",""))</f>
        <v/>
      </c>
      <c r="N111" s="53" t="str">
        <f aca="false">IF(SUMPRODUCT((tl_target=$C111)*(tl_sub=N$4)*(tl_align="Primary"))&gt;0,"P",IF(SUMPRODUCT((tl_target=$C111)*(tl_sub=N$4))&gt;0,"S",""))</f>
        <v/>
      </c>
      <c r="O111" s="53" t="str">
        <f aca="false">IF(SUMPRODUCT((tl_target=$C111)*(tl_sub=O$4)*(tl_align="Primary"))&gt;0,"P",IF(SUMPRODUCT((tl_target=$C111)*(tl_sub=O$4))&gt;0,"S",""))</f>
        <v>S</v>
      </c>
      <c r="P111" s="53" t="str">
        <f aca="false">IF(SUMPRODUCT((tl_target=$C111)*(tl_sub=P$4)*(tl_align="Primary"))&gt;0,"P",IF(SUMPRODUCT((tl_target=$C111)*(tl_sub=P$4))&gt;0,"S",""))</f>
        <v/>
      </c>
      <c r="Q111" s="53" t="str">
        <f aca="false">IF(SUMPRODUCT((tl_target=$C111)*(tl_sub=Q$4)*(tl_align="Primary"))&gt;0,"P",IF(SUMPRODUCT((tl_target=$C111)*(tl_sub=Q$4))&gt;0,"S",""))</f>
        <v/>
      </c>
      <c r="R111" s="69" t="str">
        <f aca="false">_xlfn.TEXTJOIN(", ",TRUE(),IF(SUMPRODUCT((tl_target=$C111)*(tl_principle="PP1"))&gt;0,"PP1",""),IF(SUMPRODUCT((tl_target=$C111)*(tl_principle="PP2"))&gt;0,"PP2",""),IF(SUMPRODUCT((tl_target=$C111)*(tl_principle="PP3"))&gt;0,"PP3",""),IF(SUMPRODUCT((tl_target=$C111)*(tl_principle="PP4"))&gt;0,"PP4",""))</f>
        <v>PP2, PP3</v>
      </c>
      <c r="S111" s="9" t="n">
        <f aca="false">SUMPRODUCT(--(tl_target=$C111))</f>
        <v>2</v>
      </c>
      <c r="T111" s="53" t="str">
        <f aca="false">IF(SUMPRODUCT((tl_target=$C111)*(tl_align="Primary"))&gt;0,"Primary link",IF(S111&gt;0,"Secondary only","Gap"))</f>
        <v>Primary link</v>
      </c>
      <c r="U111" s="66"/>
      <c r="V111" s="66"/>
      <c r="W111" s="66"/>
      <c r="X111" s="66"/>
      <c r="Y111" s="66"/>
    </row>
    <row r="112" customFormat="false" ht="23.85" hidden="false" customHeight="false" outlineLevel="0" collapsed="false">
      <c r="A112" s="17" t="n">
        <v>12</v>
      </c>
      <c r="B112" s="5" t="s">
        <v>180</v>
      </c>
      <c r="C112" s="13" t="s">
        <v>772</v>
      </c>
      <c r="D112" s="5" t="s">
        <v>499</v>
      </c>
      <c r="E112" s="5"/>
      <c r="F112" s="5" t="s">
        <v>773</v>
      </c>
      <c r="G112" s="9" t="n">
        <v>1</v>
      </c>
      <c r="H112" s="53" t="str">
        <f aca="false">IF(SUMPRODUCT((tl_target=$C112)*(tl_sub=H$4)*(tl_align="Primary"))&gt;0,"P",IF(SUMPRODUCT((tl_target=$C112)*(tl_sub=H$4))&gt;0,"S",""))</f>
        <v/>
      </c>
      <c r="I112" s="53" t="str">
        <f aca="false">IF(SUMPRODUCT((tl_target=$C112)*(tl_sub=I$4)*(tl_align="Primary"))&gt;0,"P",IF(SUMPRODUCT((tl_target=$C112)*(tl_sub=I$4))&gt;0,"S",""))</f>
        <v/>
      </c>
      <c r="J112" s="53" t="str">
        <f aca="false">IF(SUMPRODUCT((tl_target=$C112)*(tl_sub=J$4)*(tl_align="Primary"))&gt;0,"P",IF(SUMPRODUCT((tl_target=$C112)*(tl_sub=J$4))&gt;0,"S",""))</f>
        <v/>
      </c>
      <c r="K112" s="53" t="str">
        <f aca="false">IF(SUMPRODUCT((tl_target=$C112)*(tl_sub=K$4)*(tl_align="Primary"))&gt;0,"P",IF(SUMPRODUCT((tl_target=$C112)*(tl_sub=K$4))&gt;0,"S",""))</f>
        <v/>
      </c>
      <c r="L112" s="53" t="str">
        <f aca="false">IF(SUMPRODUCT((tl_target=$C112)*(tl_sub=L$4)*(tl_align="Primary"))&gt;0,"P",IF(SUMPRODUCT((tl_target=$C112)*(tl_sub=L$4))&gt;0,"S",""))</f>
        <v/>
      </c>
      <c r="M112" s="53" t="str">
        <f aca="false">IF(SUMPRODUCT((tl_target=$C112)*(tl_sub=M$4)*(tl_align="Primary"))&gt;0,"P",IF(SUMPRODUCT((tl_target=$C112)*(tl_sub=M$4))&gt;0,"S",""))</f>
        <v/>
      </c>
      <c r="N112" s="53" t="str">
        <f aca="false">IF(SUMPRODUCT((tl_target=$C112)*(tl_sub=N$4)*(tl_align="Primary"))&gt;0,"P",IF(SUMPRODUCT((tl_target=$C112)*(tl_sub=N$4))&gt;0,"S",""))</f>
        <v/>
      </c>
      <c r="O112" s="53" t="str">
        <f aca="false">IF(SUMPRODUCT((tl_target=$C112)*(tl_sub=O$4)*(tl_align="Primary"))&gt;0,"P",IF(SUMPRODUCT((tl_target=$C112)*(tl_sub=O$4))&gt;0,"S",""))</f>
        <v/>
      </c>
      <c r="P112" s="53" t="str">
        <f aca="false">IF(SUMPRODUCT((tl_target=$C112)*(tl_sub=P$4)*(tl_align="Primary"))&gt;0,"P",IF(SUMPRODUCT((tl_target=$C112)*(tl_sub=P$4))&gt;0,"S",""))</f>
        <v/>
      </c>
      <c r="Q112" s="53" t="str">
        <f aca="false">IF(SUMPRODUCT((tl_target=$C112)*(tl_sub=Q$4)*(tl_align="Primary"))&gt;0,"P",IF(SUMPRODUCT((tl_target=$C112)*(tl_sub=Q$4))&gt;0,"S",""))</f>
        <v/>
      </c>
      <c r="R112" s="69" t="str">
        <f aca="false">_xlfn.TEXTJOIN(", ",TRUE(),IF(SUMPRODUCT((tl_target=$C112)*(tl_principle="PP1"))&gt;0,"PP1",""),IF(SUMPRODUCT((tl_target=$C112)*(tl_principle="PP2"))&gt;0,"PP2",""),IF(SUMPRODUCT((tl_target=$C112)*(tl_principle="PP3"))&gt;0,"PP3",""),IF(SUMPRODUCT((tl_target=$C112)*(tl_principle="PP4"))&gt;0,"PP4",""))</f>
        <v/>
      </c>
      <c r="S112" s="9" t="n">
        <f aca="false">SUMPRODUCT(--(tl_target=$C112))</f>
        <v>0</v>
      </c>
      <c r="T112" s="53" t="str">
        <f aca="false">IF(SUMPRODUCT((tl_target=$C112)*(tl_align="Primary"))&gt;0,"Primary link",IF(S112&gt;0,"Secondary only","Gap"))</f>
        <v>Gap</v>
      </c>
      <c r="U112" s="66"/>
      <c r="V112" s="66"/>
      <c r="W112" s="66"/>
      <c r="X112" s="66"/>
      <c r="Y112" s="66"/>
    </row>
    <row r="113" customFormat="false" ht="35.05" hidden="false" customHeight="false" outlineLevel="0" collapsed="false">
      <c r="A113" s="17" t="n">
        <v>12</v>
      </c>
      <c r="B113" s="5" t="s">
        <v>180</v>
      </c>
      <c r="C113" s="13" t="s">
        <v>774</v>
      </c>
      <c r="D113" s="5" t="s">
        <v>612</v>
      </c>
      <c r="E113" s="5"/>
      <c r="F113" s="5" t="s">
        <v>775</v>
      </c>
      <c r="G113" s="9" t="n">
        <v>1</v>
      </c>
      <c r="H113" s="53" t="str">
        <f aca="false">IF(SUMPRODUCT((tl_target=$C113)*(tl_sub=H$4)*(tl_align="Primary"))&gt;0,"P",IF(SUMPRODUCT((tl_target=$C113)*(tl_sub=H$4))&gt;0,"S",""))</f>
        <v/>
      </c>
      <c r="I113" s="53" t="str">
        <f aca="false">IF(SUMPRODUCT((tl_target=$C113)*(tl_sub=I$4)*(tl_align="Primary"))&gt;0,"P",IF(SUMPRODUCT((tl_target=$C113)*(tl_sub=I$4))&gt;0,"S",""))</f>
        <v/>
      </c>
      <c r="J113" s="53" t="str">
        <f aca="false">IF(SUMPRODUCT((tl_target=$C113)*(tl_sub=J$4)*(tl_align="Primary"))&gt;0,"P",IF(SUMPRODUCT((tl_target=$C113)*(tl_sub=J$4))&gt;0,"S",""))</f>
        <v/>
      </c>
      <c r="K113" s="53" t="str">
        <f aca="false">IF(SUMPRODUCT((tl_target=$C113)*(tl_sub=K$4)*(tl_align="Primary"))&gt;0,"P",IF(SUMPRODUCT((tl_target=$C113)*(tl_sub=K$4))&gt;0,"S",""))</f>
        <v/>
      </c>
      <c r="L113" s="53" t="str">
        <f aca="false">IF(SUMPRODUCT((tl_target=$C113)*(tl_sub=L$4)*(tl_align="Primary"))&gt;0,"P",IF(SUMPRODUCT((tl_target=$C113)*(tl_sub=L$4))&gt;0,"S",""))</f>
        <v/>
      </c>
      <c r="M113" s="53" t="str">
        <f aca="false">IF(SUMPRODUCT((tl_target=$C113)*(tl_sub=M$4)*(tl_align="Primary"))&gt;0,"P",IF(SUMPRODUCT((tl_target=$C113)*(tl_sub=M$4))&gt;0,"S",""))</f>
        <v/>
      </c>
      <c r="N113" s="53" t="str">
        <f aca="false">IF(SUMPRODUCT((tl_target=$C113)*(tl_sub=N$4)*(tl_align="Primary"))&gt;0,"P",IF(SUMPRODUCT((tl_target=$C113)*(tl_sub=N$4))&gt;0,"S",""))</f>
        <v/>
      </c>
      <c r="O113" s="53" t="str">
        <f aca="false">IF(SUMPRODUCT((tl_target=$C113)*(tl_sub=O$4)*(tl_align="Primary"))&gt;0,"P",IF(SUMPRODUCT((tl_target=$C113)*(tl_sub=O$4))&gt;0,"S",""))</f>
        <v/>
      </c>
      <c r="P113" s="53" t="str">
        <f aca="false">IF(SUMPRODUCT((tl_target=$C113)*(tl_sub=P$4)*(tl_align="Primary"))&gt;0,"P",IF(SUMPRODUCT((tl_target=$C113)*(tl_sub=P$4))&gt;0,"S",""))</f>
        <v/>
      </c>
      <c r="Q113" s="53" t="str">
        <f aca="false">IF(SUMPRODUCT((tl_target=$C113)*(tl_sub=Q$4)*(tl_align="Primary"))&gt;0,"P",IF(SUMPRODUCT((tl_target=$C113)*(tl_sub=Q$4))&gt;0,"S",""))</f>
        <v/>
      </c>
      <c r="R113" s="69" t="str">
        <f aca="false">_xlfn.TEXTJOIN(", ",TRUE(),IF(SUMPRODUCT((tl_target=$C113)*(tl_principle="PP1"))&gt;0,"PP1",""),IF(SUMPRODUCT((tl_target=$C113)*(tl_principle="PP2"))&gt;0,"PP2",""),IF(SUMPRODUCT((tl_target=$C113)*(tl_principle="PP3"))&gt;0,"PP3",""),IF(SUMPRODUCT((tl_target=$C113)*(tl_principle="PP4"))&gt;0,"PP4",""))</f>
        <v/>
      </c>
      <c r="S113" s="9" t="n">
        <f aca="false">SUMPRODUCT(--(tl_target=$C113))</f>
        <v>0</v>
      </c>
      <c r="T113" s="53" t="str">
        <f aca="false">IF(SUMPRODUCT((tl_target=$C113)*(tl_align="Primary"))&gt;0,"Primary link",IF(S113&gt;0,"Secondary only","Gap"))</f>
        <v>Gap</v>
      </c>
      <c r="U113" s="66"/>
      <c r="V113" s="66"/>
      <c r="W113" s="66"/>
      <c r="X113" s="66"/>
      <c r="Y113" s="66"/>
    </row>
    <row r="114" customFormat="false" ht="23.85" hidden="false" customHeight="false" outlineLevel="0" collapsed="false">
      <c r="A114" s="17" t="n">
        <v>12</v>
      </c>
      <c r="B114" s="5" t="s">
        <v>180</v>
      </c>
      <c r="C114" s="13" t="s">
        <v>776</v>
      </c>
      <c r="D114" s="5" t="s">
        <v>612</v>
      </c>
      <c r="E114" s="5"/>
      <c r="F114" s="5" t="s">
        <v>777</v>
      </c>
      <c r="G114" s="9" t="n">
        <v>1</v>
      </c>
      <c r="H114" s="53" t="str">
        <f aca="false">IF(SUMPRODUCT((tl_target=$C114)*(tl_sub=H$4)*(tl_align="Primary"))&gt;0,"P",IF(SUMPRODUCT((tl_target=$C114)*(tl_sub=H$4))&gt;0,"S",""))</f>
        <v/>
      </c>
      <c r="I114" s="53" t="str">
        <f aca="false">IF(SUMPRODUCT((tl_target=$C114)*(tl_sub=I$4)*(tl_align="Primary"))&gt;0,"P",IF(SUMPRODUCT((tl_target=$C114)*(tl_sub=I$4))&gt;0,"S",""))</f>
        <v/>
      </c>
      <c r="J114" s="53" t="str">
        <f aca="false">IF(SUMPRODUCT((tl_target=$C114)*(tl_sub=J$4)*(tl_align="Primary"))&gt;0,"P",IF(SUMPRODUCT((tl_target=$C114)*(tl_sub=J$4))&gt;0,"S",""))</f>
        <v/>
      </c>
      <c r="K114" s="53" t="str">
        <f aca="false">IF(SUMPRODUCT((tl_target=$C114)*(tl_sub=K$4)*(tl_align="Primary"))&gt;0,"P",IF(SUMPRODUCT((tl_target=$C114)*(tl_sub=K$4))&gt;0,"S",""))</f>
        <v/>
      </c>
      <c r="L114" s="53" t="str">
        <f aca="false">IF(SUMPRODUCT((tl_target=$C114)*(tl_sub=L$4)*(tl_align="Primary"))&gt;0,"P",IF(SUMPRODUCT((tl_target=$C114)*(tl_sub=L$4))&gt;0,"S",""))</f>
        <v/>
      </c>
      <c r="M114" s="53" t="str">
        <f aca="false">IF(SUMPRODUCT((tl_target=$C114)*(tl_sub=M$4)*(tl_align="Primary"))&gt;0,"P",IF(SUMPRODUCT((tl_target=$C114)*(tl_sub=M$4))&gt;0,"S",""))</f>
        <v/>
      </c>
      <c r="N114" s="53" t="str">
        <f aca="false">IF(SUMPRODUCT((tl_target=$C114)*(tl_sub=N$4)*(tl_align="Primary"))&gt;0,"P",IF(SUMPRODUCT((tl_target=$C114)*(tl_sub=N$4))&gt;0,"S",""))</f>
        <v/>
      </c>
      <c r="O114" s="53" t="str">
        <f aca="false">IF(SUMPRODUCT((tl_target=$C114)*(tl_sub=O$4)*(tl_align="Primary"))&gt;0,"P",IF(SUMPRODUCT((tl_target=$C114)*(tl_sub=O$4))&gt;0,"S",""))</f>
        <v/>
      </c>
      <c r="P114" s="53" t="str">
        <f aca="false">IF(SUMPRODUCT((tl_target=$C114)*(tl_sub=P$4)*(tl_align="Primary"))&gt;0,"P",IF(SUMPRODUCT((tl_target=$C114)*(tl_sub=P$4))&gt;0,"S",""))</f>
        <v/>
      </c>
      <c r="Q114" s="53" t="str">
        <f aca="false">IF(SUMPRODUCT((tl_target=$C114)*(tl_sub=Q$4)*(tl_align="Primary"))&gt;0,"P",IF(SUMPRODUCT((tl_target=$C114)*(tl_sub=Q$4))&gt;0,"S",""))</f>
        <v/>
      </c>
      <c r="R114" s="69" t="str">
        <f aca="false">_xlfn.TEXTJOIN(", ",TRUE(),IF(SUMPRODUCT((tl_target=$C114)*(tl_principle="PP1"))&gt;0,"PP1",""),IF(SUMPRODUCT((tl_target=$C114)*(tl_principle="PP2"))&gt;0,"PP2",""),IF(SUMPRODUCT((tl_target=$C114)*(tl_principle="PP3"))&gt;0,"PP3",""),IF(SUMPRODUCT((tl_target=$C114)*(tl_principle="PP4"))&gt;0,"PP4",""))</f>
        <v/>
      </c>
      <c r="S114" s="9" t="n">
        <f aca="false">SUMPRODUCT(--(tl_target=$C114))</f>
        <v>0</v>
      </c>
      <c r="T114" s="53" t="str">
        <f aca="false">IF(SUMPRODUCT((tl_target=$C114)*(tl_align="Primary"))&gt;0,"Primary link",IF(S114&gt;0,"Secondary only","Gap"))</f>
        <v>Gap</v>
      </c>
      <c r="U114" s="66"/>
      <c r="V114" s="66"/>
      <c r="W114" s="66"/>
      <c r="X114" s="66"/>
      <c r="Y114" s="66"/>
    </row>
    <row r="115" customFormat="false" ht="79.85" hidden="false" customHeight="false" outlineLevel="0" collapsed="false">
      <c r="A115" s="17" t="n">
        <v>12</v>
      </c>
      <c r="B115" s="5" t="s">
        <v>180</v>
      </c>
      <c r="C115" s="13" t="s">
        <v>778</v>
      </c>
      <c r="D115" s="5" t="s">
        <v>612</v>
      </c>
      <c r="E115" s="5"/>
      <c r="F115" s="5" t="s">
        <v>779</v>
      </c>
      <c r="G115" s="9" t="n">
        <v>1</v>
      </c>
      <c r="H115" s="53" t="str">
        <f aca="false">IF(SUMPRODUCT((tl_target=$C115)*(tl_sub=H$4)*(tl_align="Primary"))&gt;0,"P",IF(SUMPRODUCT((tl_target=$C115)*(tl_sub=H$4))&gt;0,"S",""))</f>
        <v/>
      </c>
      <c r="I115" s="53" t="str">
        <f aca="false">IF(SUMPRODUCT((tl_target=$C115)*(tl_sub=I$4)*(tl_align="Primary"))&gt;0,"P",IF(SUMPRODUCT((tl_target=$C115)*(tl_sub=I$4))&gt;0,"S",""))</f>
        <v/>
      </c>
      <c r="J115" s="53" t="str">
        <f aca="false">IF(SUMPRODUCT((tl_target=$C115)*(tl_sub=J$4)*(tl_align="Primary"))&gt;0,"P",IF(SUMPRODUCT((tl_target=$C115)*(tl_sub=J$4))&gt;0,"S",""))</f>
        <v/>
      </c>
      <c r="K115" s="53" t="str">
        <f aca="false">IF(SUMPRODUCT((tl_target=$C115)*(tl_sub=K$4)*(tl_align="Primary"))&gt;0,"P",IF(SUMPRODUCT((tl_target=$C115)*(tl_sub=K$4))&gt;0,"S",""))</f>
        <v/>
      </c>
      <c r="L115" s="53" t="str">
        <f aca="false">IF(SUMPRODUCT((tl_target=$C115)*(tl_sub=L$4)*(tl_align="Primary"))&gt;0,"P",IF(SUMPRODUCT((tl_target=$C115)*(tl_sub=L$4))&gt;0,"S",""))</f>
        <v/>
      </c>
      <c r="M115" s="53" t="str">
        <f aca="false">IF(SUMPRODUCT((tl_target=$C115)*(tl_sub=M$4)*(tl_align="Primary"))&gt;0,"P",IF(SUMPRODUCT((tl_target=$C115)*(tl_sub=M$4))&gt;0,"S",""))</f>
        <v/>
      </c>
      <c r="N115" s="53" t="str">
        <f aca="false">IF(SUMPRODUCT((tl_target=$C115)*(tl_sub=N$4)*(tl_align="Primary"))&gt;0,"P",IF(SUMPRODUCT((tl_target=$C115)*(tl_sub=N$4))&gt;0,"S",""))</f>
        <v/>
      </c>
      <c r="O115" s="53" t="str">
        <f aca="false">IF(SUMPRODUCT((tl_target=$C115)*(tl_sub=O$4)*(tl_align="Primary"))&gt;0,"P",IF(SUMPRODUCT((tl_target=$C115)*(tl_sub=O$4))&gt;0,"S",""))</f>
        <v/>
      </c>
      <c r="P115" s="53" t="str">
        <f aca="false">IF(SUMPRODUCT((tl_target=$C115)*(tl_sub=P$4)*(tl_align="Primary"))&gt;0,"P",IF(SUMPRODUCT((tl_target=$C115)*(tl_sub=P$4))&gt;0,"S",""))</f>
        <v/>
      </c>
      <c r="Q115" s="53" t="str">
        <f aca="false">IF(SUMPRODUCT((tl_target=$C115)*(tl_sub=Q$4)*(tl_align="Primary"))&gt;0,"P",IF(SUMPRODUCT((tl_target=$C115)*(tl_sub=Q$4))&gt;0,"S",""))</f>
        <v/>
      </c>
      <c r="R115" s="69" t="str">
        <f aca="false">_xlfn.TEXTJOIN(", ",TRUE(),IF(SUMPRODUCT((tl_target=$C115)*(tl_principle="PP1"))&gt;0,"PP1",""),IF(SUMPRODUCT((tl_target=$C115)*(tl_principle="PP2"))&gt;0,"PP2",""),IF(SUMPRODUCT((tl_target=$C115)*(tl_principle="PP3"))&gt;0,"PP3",""),IF(SUMPRODUCT((tl_target=$C115)*(tl_principle="PP4"))&gt;0,"PP4",""))</f>
        <v/>
      </c>
      <c r="S115" s="9" t="n">
        <f aca="false">SUMPRODUCT(--(tl_target=$C115))</f>
        <v>0</v>
      </c>
      <c r="T115" s="53" t="str">
        <f aca="false">IF(SUMPRODUCT((tl_target=$C115)*(tl_align="Primary"))&gt;0,"Primary link",IF(S115&gt;0,"Secondary only","Gap"))</f>
        <v>Gap</v>
      </c>
      <c r="U115" s="66"/>
      <c r="V115" s="66"/>
      <c r="W115" s="66"/>
      <c r="X115" s="66"/>
      <c r="Y115" s="66"/>
    </row>
    <row r="116" customFormat="false" ht="23.85" hidden="false" customHeight="false" outlineLevel="0" collapsed="false">
      <c r="A116" s="20" t="n">
        <v>13</v>
      </c>
      <c r="B116" s="5" t="s">
        <v>210</v>
      </c>
      <c r="C116" s="13" t="s">
        <v>211</v>
      </c>
      <c r="D116" s="5" t="s">
        <v>499</v>
      </c>
      <c r="E116" s="5" t="s">
        <v>212</v>
      </c>
      <c r="F116" s="5" t="s">
        <v>213</v>
      </c>
      <c r="G116" s="9" t="n">
        <v>3</v>
      </c>
      <c r="H116" s="53" t="str">
        <f aca="false">IF(SUMPRODUCT((tl_target=$C116)*(tl_sub=H$4)*(tl_align="Primary"))&gt;0,"P",IF(SUMPRODUCT((tl_target=$C116)*(tl_sub=H$4))&gt;0,"S",""))</f>
        <v/>
      </c>
      <c r="I116" s="53" t="str">
        <f aca="false">IF(SUMPRODUCT((tl_target=$C116)*(tl_sub=I$4)*(tl_align="Primary"))&gt;0,"P",IF(SUMPRODUCT((tl_target=$C116)*(tl_sub=I$4))&gt;0,"S",""))</f>
        <v/>
      </c>
      <c r="J116" s="53" t="str">
        <f aca="false">IF(SUMPRODUCT((tl_target=$C116)*(tl_sub=J$4)*(tl_align="Primary"))&gt;0,"P",IF(SUMPRODUCT((tl_target=$C116)*(tl_sub=J$4))&gt;0,"S",""))</f>
        <v>P</v>
      </c>
      <c r="K116" s="53" t="str">
        <f aca="false">IF(SUMPRODUCT((tl_target=$C116)*(tl_sub=K$4)*(tl_align="Primary"))&gt;0,"P",IF(SUMPRODUCT((tl_target=$C116)*(tl_sub=K$4))&gt;0,"S",""))</f>
        <v/>
      </c>
      <c r="L116" s="53" t="str">
        <f aca="false">IF(SUMPRODUCT((tl_target=$C116)*(tl_sub=L$4)*(tl_align="Primary"))&gt;0,"P",IF(SUMPRODUCT((tl_target=$C116)*(tl_sub=L$4))&gt;0,"S",""))</f>
        <v/>
      </c>
      <c r="M116" s="53" t="str">
        <f aca="false">IF(SUMPRODUCT((tl_target=$C116)*(tl_sub=M$4)*(tl_align="Primary"))&gt;0,"P",IF(SUMPRODUCT((tl_target=$C116)*(tl_sub=M$4))&gt;0,"S",""))</f>
        <v/>
      </c>
      <c r="N116" s="53" t="str">
        <f aca="false">IF(SUMPRODUCT((tl_target=$C116)*(tl_sub=N$4)*(tl_align="Primary"))&gt;0,"P",IF(SUMPRODUCT((tl_target=$C116)*(tl_sub=N$4))&gt;0,"S",""))</f>
        <v/>
      </c>
      <c r="O116" s="53" t="str">
        <f aca="false">IF(SUMPRODUCT((tl_target=$C116)*(tl_sub=O$4)*(tl_align="Primary"))&gt;0,"P",IF(SUMPRODUCT((tl_target=$C116)*(tl_sub=O$4))&gt;0,"S",""))</f>
        <v/>
      </c>
      <c r="P116" s="53" t="str">
        <f aca="false">IF(SUMPRODUCT((tl_target=$C116)*(tl_sub=P$4)*(tl_align="Primary"))&gt;0,"P",IF(SUMPRODUCT((tl_target=$C116)*(tl_sub=P$4))&gt;0,"S",""))</f>
        <v/>
      </c>
      <c r="Q116" s="53" t="str">
        <f aca="false">IF(SUMPRODUCT((tl_target=$C116)*(tl_sub=Q$4)*(tl_align="Primary"))&gt;0,"P",IF(SUMPRODUCT((tl_target=$C116)*(tl_sub=Q$4))&gt;0,"S",""))</f>
        <v/>
      </c>
      <c r="R116" s="69" t="str">
        <f aca="false">_xlfn.TEXTJOIN(", ",TRUE(),IF(SUMPRODUCT((tl_target=$C116)*(tl_principle="PP1"))&gt;0,"PP1",""),IF(SUMPRODUCT((tl_target=$C116)*(tl_principle="PP2"))&gt;0,"PP2",""),IF(SUMPRODUCT((tl_target=$C116)*(tl_principle="PP3"))&gt;0,"PP3",""),IF(SUMPRODUCT((tl_target=$C116)*(tl_principle="PP4"))&gt;0,"PP4",""))</f>
        <v>PP2</v>
      </c>
      <c r="S116" s="9" t="n">
        <f aca="false">SUMPRODUCT(--(tl_target=$C116))</f>
        <v>1</v>
      </c>
      <c r="T116" s="53" t="str">
        <f aca="false">IF(SUMPRODUCT((tl_target=$C116)*(tl_align="Primary"))&gt;0,"Primary link",IF(S116&gt;0,"Secondary only","Gap"))</f>
        <v>Primary link</v>
      </c>
      <c r="U116" s="66"/>
      <c r="V116" s="66"/>
      <c r="W116" s="66"/>
      <c r="X116" s="66"/>
      <c r="Y116" s="66"/>
    </row>
    <row r="117" customFormat="false" ht="23.85" hidden="false" customHeight="false" outlineLevel="0" collapsed="false">
      <c r="A117" s="20" t="n">
        <v>13</v>
      </c>
      <c r="B117" s="5" t="s">
        <v>210</v>
      </c>
      <c r="C117" s="13" t="s">
        <v>215</v>
      </c>
      <c r="D117" s="5" t="s">
        <v>499</v>
      </c>
      <c r="E117" s="5" t="s">
        <v>216</v>
      </c>
      <c r="F117" s="5" t="s">
        <v>217</v>
      </c>
      <c r="G117" s="9" t="n">
        <v>2</v>
      </c>
      <c r="H117" s="53" t="str">
        <f aca="false">IF(SUMPRODUCT((tl_target=$C117)*(tl_sub=H$4)*(tl_align="Primary"))&gt;0,"P",IF(SUMPRODUCT((tl_target=$C117)*(tl_sub=H$4))&gt;0,"S",""))</f>
        <v/>
      </c>
      <c r="I117" s="53" t="str">
        <f aca="false">IF(SUMPRODUCT((tl_target=$C117)*(tl_sub=I$4)*(tl_align="Primary"))&gt;0,"P",IF(SUMPRODUCT((tl_target=$C117)*(tl_sub=I$4))&gt;0,"S",""))</f>
        <v/>
      </c>
      <c r="J117" s="53" t="str">
        <f aca="false">IF(SUMPRODUCT((tl_target=$C117)*(tl_sub=J$4)*(tl_align="Primary"))&gt;0,"P",IF(SUMPRODUCT((tl_target=$C117)*(tl_sub=J$4))&gt;0,"S",""))</f>
        <v>P</v>
      </c>
      <c r="K117" s="53" t="str">
        <f aca="false">IF(SUMPRODUCT((tl_target=$C117)*(tl_sub=K$4)*(tl_align="Primary"))&gt;0,"P",IF(SUMPRODUCT((tl_target=$C117)*(tl_sub=K$4))&gt;0,"S",""))</f>
        <v>S</v>
      </c>
      <c r="L117" s="53" t="str">
        <f aca="false">IF(SUMPRODUCT((tl_target=$C117)*(tl_sub=L$4)*(tl_align="Primary"))&gt;0,"P",IF(SUMPRODUCT((tl_target=$C117)*(tl_sub=L$4))&gt;0,"S",""))</f>
        <v>S</v>
      </c>
      <c r="M117" s="53" t="str">
        <f aca="false">IF(SUMPRODUCT((tl_target=$C117)*(tl_sub=M$4)*(tl_align="Primary"))&gt;0,"P",IF(SUMPRODUCT((tl_target=$C117)*(tl_sub=M$4))&gt;0,"S",""))</f>
        <v/>
      </c>
      <c r="N117" s="53" t="str">
        <f aca="false">IF(SUMPRODUCT((tl_target=$C117)*(tl_sub=N$4)*(tl_align="Primary"))&gt;0,"P",IF(SUMPRODUCT((tl_target=$C117)*(tl_sub=N$4))&gt;0,"S",""))</f>
        <v/>
      </c>
      <c r="O117" s="53" t="str">
        <f aca="false">IF(SUMPRODUCT((tl_target=$C117)*(tl_sub=O$4)*(tl_align="Primary"))&gt;0,"P",IF(SUMPRODUCT((tl_target=$C117)*(tl_sub=O$4))&gt;0,"S",""))</f>
        <v/>
      </c>
      <c r="P117" s="53" t="str">
        <f aca="false">IF(SUMPRODUCT((tl_target=$C117)*(tl_sub=P$4)*(tl_align="Primary"))&gt;0,"P",IF(SUMPRODUCT((tl_target=$C117)*(tl_sub=P$4))&gt;0,"S",""))</f>
        <v/>
      </c>
      <c r="Q117" s="53" t="str">
        <f aca="false">IF(SUMPRODUCT((tl_target=$C117)*(tl_sub=Q$4)*(tl_align="Primary"))&gt;0,"P",IF(SUMPRODUCT((tl_target=$C117)*(tl_sub=Q$4))&gt;0,"S",""))</f>
        <v/>
      </c>
      <c r="R117" s="69" t="str">
        <f aca="false">_xlfn.TEXTJOIN(", ",TRUE(),IF(SUMPRODUCT((tl_target=$C117)*(tl_principle="PP1"))&gt;0,"PP1",""),IF(SUMPRODUCT((tl_target=$C117)*(tl_principle="PP2"))&gt;0,"PP2",""),IF(SUMPRODUCT((tl_target=$C117)*(tl_principle="PP3"))&gt;0,"PP3",""),IF(SUMPRODUCT((tl_target=$C117)*(tl_principle="PP4"))&gt;0,"PP4",""))</f>
        <v>PP2</v>
      </c>
      <c r="S117" s="9" t="n">
        <f aca="false">SUMPRODUCT(--(tl_target=$C117))</f>
        <v>3</v>
      </c>
      <c r="T117" s="53" t="str">
        <f aca="false">IF(SUMPRODUCT((tl_target=$C117)*(tl_align="Primary"))&gt;0,"Primary link",IF(S117&gt;0,"Secondary only","Gap"))</f>
        <v>Primary link</v>
      </c>
      <c r="U117" s="66"/>
      <c r="V117" s="66"/>
      <c r="W117" s="66"/>
      <c r="X117" s="66"/>
      <c r="Y117" s="66"/>
    </row>
    <row r="118" customFormat="false" ht="23.85" hidden="false" customHeight="false" outlineLevel="0" collapsed="false">
      <c r="A118" s="20" t="n">
        <v>13</v>
      </c>
      <c r="B118" s="5" t="s">
        <v>210</v>
      </c>
      <c r="C118" s="13" t="s">
        <v>780</v>
      </c>
      <c r="D118" s="5" t="s">
        <v>499</v>
      </c>
      <c r="E118" s="5"/>
      <c r="F118" s="5" t="s">
        <v>781</v>
      </c>
      <c r="G118" s="9" t="n">
        <v>1</v>
      </c>
      <c r="H118" s="53" t="str">
        <f aca="false">IF(SUMPRODUCT((tl_target=$C118)*(tl_sub=H$4)*(tl_align="Primary"))&gt;0,"P",IF(SUMPRODUCT((tl_target=$C118)*(tl_sub=H$4))&gt;0,"S",""))</f>
        <v/>
      </c>
      <c r="I118" s="53" t="str">
        <f aca="false">IF(SUMPRODUCT((tl_target=$C118)*(tl_sub=I$4)*(tl_align="Primary"))&gt;0,"P",IF(SUMPRODUCT((tl_target=$C118)*(tl_sub=I$4))&gt;0,"S",""))</f>
        <v/>
      </c>
      <c r="J118" s="53" t="str">
        <f aca="false">IF(SUMPRODUCT((tl_target=$C118)*(tl_sub=J$4)*(tl_align="Primary"))&gt;0,"P",IF(SUMPRODUCT((tl_target=$C118)*(tl_sub=J$4))&gt;0,"S",""))</f>
        <v/>
      </c>
      <c r="K118" s="53" t="str">
        <f aca="false">IF(SUMPRODUCT((tl_target=$C118)*(tl_sub=K$4)*(tl_align="Primary"))&gt;0,"P",IF(SUMPRODUCT((tl_target=$C118)*(tl_sub=K$4))&gt;0,"S",""))</f>
        <v/>
      </c>
      <c r="L118" s="53" t="str">
        <f aca="false">IF(SUMPRODUCT((tl_target=$C118)*(tl_sub=L$4)*(tl_align="Primary"))&gt;0,"P",IF(SUMPRODUCT((tl_target=$C118)*(tl_sub=L$4))&gt;0,"S",""))</f>
        <v/>
      </c>
      <c r="M118" s="53" t="str">
        <f aca="false">IF(SUMPRODUCT((tl_target=$C118)*(tl_sub=M$4)*(tl_align="Primary"))&gt;0,"P",IF(SUMPRODUCT((tl_target=$C118)*(tl_sub=M$4))&gt;0,"S",""))</f>
        <v/>
      </c>
      <c r="N118" s="53" t="str">
        <f aca="false">IF(SUMPRODUCT((tl_target=$C118)*(tl_sub=N$4)*(tl_align="Primary"))&gt;0,"P",IF(SUMPRODUCT((tl_target=$C118)*(tl_sub=N$4))&gt;0,"S",""))</f>
        <v/>
      </c>
      <c r="O118" s="53" t="str">
        <f aca="false">IF(SUMPRODUCT((tl_target=$C118)*(tl_sub=O$4)*(tl_align="Primary"))&gt;0,"P",IF(SUMPRODUCT((tl_target=$C118)*(tl_sub=O$4))&gt;0,"S",""))</f>
        <v/>
      </c>
      <c r="P118" s="53" t="str">
        <f aca="false">IF(SUMPRODUCT((tl_target=$C118)*(tl_sub=P$4)*(tl_align="Primary"))&gt;0,"P",IF(SUMPRODUCT((tl_target=$C118)*(tl_sub=P$4))&gt;0,"S",""))</f>
        <v/>
      </c>
      <c r="Q118" s="53" t="str">
        <f aca="false">IF(SUMPRODUCT((tl_target=$C118)*(tl_sub=Q$4)*(tl_align="Primary"))&gt;0,"P",IF(SUMPRODUCT((tl_target=$C118)*(tl_sub=Q$4))&gt;0,"S",""))</f>
        <v/>
      </c>
      <c r="R118" s="69" t="str">
        <f aca="false">_xlfn.TEXTJOIN(", ",TRUE(),IF(SUMPRODUCT((tl_target=$C118)*(tl_principle="PP1"))&gt;0,"PP1",""),IF(SUMPRODUCT((tl_target=$C118)*(tl_principle="PP2"))&gt;0,"PP2",""),IF(SUMPRODUCT((tl_target=$C118)*(tl_principle="PP3"))&gt;0,"PP3",""),IF(SUMPRODUCT((tl_target=$C118)*(tl_principle="PP4"))&gt;0,"PP4",""))</f>
        <v/>
      </c>
      <c r="S118" s="9" t="n">
        <f aca="false">SUMPRODUCT(--(tl_target=$C118))</f>
        <v>0</v>
      </c>
      <c r="T118" s="53" t="str">
        <f aca="false">IF(SUMPRODUCT((tl_target=$C118)*(tl_align="Primary"))&gt;0,"Primary link",IF(S118&gt;0,"Secondary only","Gap"))</f>
        <v>Gap</v>
      </c>
      <c r="U118" s="66"/>
      <c r="V118" s="66"/>
      <c r="W118" s="66"/>
      <c r="X118" s="66"/>
      <c r="Y118" s="66"/>
    </row>
    <row r="119" customFormat="false" ht="68.65" hidden="false" customHeight="false" outlineLevel="0" collapsed="false">
      <c r="A119" s="20" t="n">
        <v>13</v>
      </c>
      <c r="B119" s="5" t="s">
        <v>210</v>
      </c>
      <c r="C119" s="13" t="s">
        <v>782</v>
      </c>
      <c r="D119" s="5" t="s">
        <v>612</v>
      </c>
      <c r="E119" s="5"/>
      <c r="F119" s="5" t="s">
        <v>783</v>
      </c>
      <c r="G119" s="9" t="n">
        <v>1</v>
      </c>
      <c r="H119" s="53" t="str">
        <f aca="false">IF(SUMPRODUCT((tl_target=$C119)*(tl_sub=H$4)*(tl_align="Primary"))&gt;0,"P",IF(SUMPRODUCT((tl_target=$C119)*(tl_sub=H$4))&gt;0,"S",""))</f>
        <v/>
      </c>
      <c r="I119" s="53" t="str">
        <f aca="false">IF(SUMPRODUCT((tl_target=$C119)*(tl_sub=I$4)*(tl_align="Primary"))&gt;0,"P",IF(SUMPRODUCT((tl_target=$C119)*(tl_sub=I$4))&gt;0,"S",""))</f>
        <v/>
      </c>
      <c r="J119" s="53" t="str">
        <f aca="false">IF(SUMPRODUCT((tl_target=$C119)*(tl_sub=J$4)*(tl_align="Primary"))&gt;0,"P",IF(SUMPRODUCT((tl_target=$C119)*(tl_sub=J$4))&gt;0,"S",""))</f>
        <v/>
      </c>
      <c r="K119" s="53" t="str">
        <f aca="false">IF(SUMPRODUCT((tl_target=$C119)*(tl_sub=K$4)*(tl_align="Primary"))&gt;0,"P",IF(SUMPRODUCT((tl_target=$C119)*(tl_sub=K$4))&gt;0,"S",""))</f>
        <v/>
      </c>
      <c r="L119" s="53" t="str">
        <f aca="false">IF(SUMPRODUCT((tl_target=$C119)*(tl_sub=L$4)*(tl_align="Primary"))&gt;0,"P",IF(SUMPRODUCT((tl_target=$C119)*(tl_sub=L$4))&gt;0,"S",""))</f>
        <v/>
      </c>
      <c r="M119" s="53" t="str">
        <f aca="false">IF(SUMPRODUCT((tl_target=$C119)*(tl_sub=M$4)*(tl_align="Primary"))&gt;0,"P",IF(SUMPRODUCT((tl_target=$C119)*(tl_sub=M$4))&gt;0,"S",""))</f>
        <v/>
      </c>
      <c r="N119" s="53" t="str">
        <f aca="false">IF(SUMPRODUCT((tl_target=$C119)*(tl_sub=N$4)*(tl_align="Primary"))&gt;0,"P",IF(SUMPRODUCT((tl_target=$C119)*(tl_sub=N$4))&gt;0,"S",""))</f>
        <v/>
      </c>
      <c r="O119" s="53" t="str">
        <f aca="false">IF(SUMPRODUCT((tl_target=$C119)*(tl_sub=O$4)*(tl_align="Primary"))&gt;0,"P",IF(SUMPRODUCT((tl_target=$C119)*(tl_sub=O$4))&gt;0,"S",""))</f>
        <v/>
      </c>
      <c r="P119" s="53" t="str">
        <f aca="false">IF(SUMPRODUCT((tl_target=$C119)*(tl_sub=P$4)*(tl_align="Primary"))&gt;0,"P",IF(SUMPRODUCT((tl_target=$C119)*(tl_sub=P$4))&gt;0,"S",""))</f>
        <v/>
      </c>
      <c r="Q119" s="53" t="str">
        <f aca="false">IF(SUMPRODUCT((tl_target=$C119)*(tl_sub=Q$4)*(tl_align="Primary"))&gt;0,"P",IF(SUMPRODUCT((tl_target=$C119)*(tl_sub=Q$4))&gt;0,"S",""))</f>
        <v/>
      </c>
      <c r="R119" s="69" t="str">
        <f aca="false">_xlfn.TEXTJOIN(", ",TRUE(),IF(SUMPRODUCT((tl_target=$C119)*(tl_principle="PP1"))&gt;0,"PP1",""),IF(SUMPRODUCT((tl_target=$C119)*(tl_principle="PP2"))&gt;0,"PP2",""),IF(SUMPRODUCT((tl_target=$C119)*(tl_principle="PP3"))&gt;0,"PP3",""),IF(SUMPRODUCT((tl_target=$C119)*(tl_principle="PP4"))&gt;0,"PP4",""))</f>
        <v/>
      </c>
      <c r="S119" s="9" t="n">
        <f aca="false">SUMPRODUCT(--(tl_target=$C119))</f>
        <v>0</v>
      </c>
      <c r="T119" s="53" t="str">
        <f aca="false">IF(SUMPRODUCT((tl_target=$C119)*(tl_align="Primary"))&gt;0,"Primary link",IF(S119&gt;0,"Secondary only","Gap"))</f>
        <v>Gap</v>
      </c>
      <c r="U119" s="66"/>
      <c r="V119" s="66"/>
      <c r="W119" s="66"/>
      <c r="X119" s="66"/>
      <c r="Y119" s="66"/>
    </row>
    <row r="120" customFormat="false" ht="46.25" hidden="false" customHeight="false" outlineLevel="0" collapsed="false">
      <c r="A120" s="20" t="n">
        <v>13</v>
      </c>
      <c r="B120" s="5" t="s">
        <v>210</v>
      </c>
      <c r="C120" s="13" t="s">
        <v>784</v>
      </c>
      <c r="D120" s="5" t="s">
        <v>612</v>
      </c>
      <c r="E120" s="5"/>
      <c r="F120" s="5" t="s">
        <v>785</v>
      </c>
      <c r="G120" s="9" t="n">
        <v>1</v>
      </c>
      <c r="H120" s="53" t="str">
        <f aca="false">IF(SUMPRODUCT((tl_target=$C120)*(tl_sub=H$4)*(tl_align="Primary"))&gt;0,"P",IF(SUMPRODUCT((tl_target=$C120)*(tl_sub=H$4))&gt;0,"S",""))</f>
        <v/>
      </c>
      <c r="I120" s="53" t="str">
        <f aca="false">IF(SUMPRODUCT((tl_target=$C120)*(tl_sub=I$4)*(tl_align="Primary"))&gt;0,"P",IF(SUMPRODUCT((tl_target=$C120)*(tl_sub=I$4))&gt;0,"S",""))</f>
        <v/>
      </c>
      <c r="J120" s="53" t="str">
        <f aca="false">IF(SUMPRODUCT((tl_target=$C120)*(tl_sub=J$4)*(tl_align="Primary"))&gt;0,"P",IF(SUMPRODUCT((tl_target=$C120)*(tl_sub=J$4))&gt;0,"S",""))</f>
        <v/>
      </c>
      <c r="K120" s="53" t="str">
        <f aca="false">IF(SUMPRODUCT((tl_target=$C120)*(tl_sub=K$4)*(tl_align="Primary"))&gt;0,"P",IF(SUMPRODUCT((tl_target=$C120)*(tl_sub=K$4))&gt;0,"S",""))</f>
        <v/>
      </c>
      <c r="L120" s="53" t="str">
        <f aca="false">IF(SUMPRODUCT((tl_target=$C120)*(tl_sub=L$4)*(tl_align="Primary"))&gt;0,"P",IF(SUMPRODUCT((tl_target=$C120)*(tl_sub=L$4))&gt;0,"S",""))</f>
        <v/>
      </c>
      <c r="M120" s="53" t="str">
        <f aca="false">IF(SUMPRODUCT((tl_target=$C120)*(tl_sub=M$4)*(tl_align="Primary"))&gt;0,"P",IF(SUMPRODUCT((tl_target=$C120)*(tl_sub=M$4))&gt;0,"S",""))</f>
        <v/>
      </c>
      <c r="N120" s="53" t="str">
        <f aca="false">IF(SUMPRODUCT((tl_target=$C120)*(tl_sub=N$4)*(tl_align="Primary"))&gt;0,"P",IF(SUMPRODUCT((tl_target=$C120)*(tl_sub=N$4))&gt;0,"S",""))</f>
        <v/>
      </c>
      <c r="O120" s="53" t="str">
        <f aca="false">IF(SUMPRODUCT((tl_target=$C120)*(tl_sub=O$4)*(tl_align="Primary"))&gt;0,"P",IF(SUMPRODUCT((tl_target=$C120)*(tl_sub=O$4))&gt;0,"S",""))</f>
        <v/>
      </c>
      <c r="P120" s="53" t="str">
        <f aca="false">IF(SUMPRODUCT((tl_target=$C120)*(tl_sub=P$4)*(tl_align="Primary"))&gt;0,"P",IF(SUMPRODUCT((tl_target=$C120)*(tl_sub=P$4))&gt;0,"S",""))</f>
        <v/>
      </c>
      <c r="Q120" s="53" t="str">
        <f aca="false">IF(SUMPRODUCT((tl_target=$C120)*(tl_sub=Q$4)*(tl_align="Primary"))&gt;0,"P",IF(SUMPRODUCT((tl_target=$C120)*(tl_sub=Q$4))&gt;0,"S",""))</f>
        <v/>
      </c>
      <c r="R120" s="69" t="str">
        <f aca="false">_xlfn.TEXTJOIN(", ",TRUE(),IF(SUMPRODUCT((tl_target=$C120)*(tl_principle="PP1"))&gt;0,"PP1",""),IF(SUMPRODUCT((tl_target=$C120)*(tl_principle="PP2"))&gt;0,"PP2",""),IF(SUMPRODUCT((tl_target=$C120)*(tl_principle="PP3"))&gt;0,"PP3",""),IF(SUMPRODUCT((tl_target=$C120)*(tl_principle="PP4"))&gt;0,"PP4",""))</f>
        <v/>
      </c>
      <c r="S120" s="9" t="n">
        <f aca="false">SUMPRODUCT(--(tl_target=$C120))</f>
        <v>0</v>
      </c>
      <c r="T120" s="53" t="str">
        <f aca="false">IF(SUMPRODUCT((tl_target=$C120)*(tl_align="Primary"))&gt;0,"Primary link",IF(S120&gt;0,"Secondary only","Gap"))</f>
        <v>Gap</v>
      </c>
      <c r="U120" s="66"/>
      <c r="V120" s="66"/>
      <c r="W120" s="66"/>
      <c r="X120" s="66"/>
      <c r="Y120" s="66"/>
    </row>
    <row r="121" customFormat="false" ht="35.05" hidden="false" customHeight="false" outlineLevel="0" collapsed="false">
      <c r="A121" s="58" t="n">
        <v>14</v>
      </c>
      <c r="B121" s="5" t="s">
        <v>563</v>
      </c>
      <c r="C121" s="13" t="s">
        <v>786</v>
      </c>
      <c r="D121" s="5" t="s">
        <v>499</v>
      </c>
      <c r="E121" s="5"/>
      <c r="F121" s="5" t="s">
        <v>787</v>
      </c>
      <c r="G121" s="9" t="n">
        <v>1</v>
      </c>
      <c r="H121" s="53" t="str">
        <f aca="false">IF(SUMPRODUCT((tl_target=$C121)*(tl_sub=H$4)*(tl_align="Primary"))&gt;0,"P",IF(SUMPRODUCT((tl_target=$C121)*(tl_sub=H$4))&gt;0,"S",""))</f>
        <v/>
      </c>
      <c r="I121" s="53" t="str">
        <f aca="false">IF(SUMPRODUCT((tl_target=$C121)*(tl_sub=I$4)*(tl_align="Primary"))&gt;0,"P",IF(SUMPRODUCT((tl_target=$C121)*(tl_sub=I$4))&gt;0,"S",""))</f>
        <v/>
      </c>
      <c r="J121" s="53" t="str">
        <f aca="false">IF(SUMPRODUCT((tl_target=$C121)*(tl_sub=J$4)*(tl_align="Primary"))&gt;0,"P",IF(SUMPRODUCT((tl_target=$C121)*(tl_sub=J$4))&gt;0,"S",""))</f>
        <v/>
      </c>
      <c r="K121" s="53" t="str">
        <f aca="false">IF(SUMPRODUCT((tl_target=$C121)*(tl_sub=K$4)*(tl_align="Primary"))&gt;0,"P",IF(SUMPRODUCT((tl_target=$C121)*(tl_sub=K$4))&gt;0,"S",""))</f>
        <v/>
      </c>
      <c r="L121" s="53" t="str">
        <f aca="false">IF(SUMPRODUCT((tl_target=$C121)*(tl_sub=L$4)*(tl_align="Primary"))&gt;0,"P",IF(SUMPRODUCT((tl_target=$C121)*(tl_sub=L$4))&gt;0,"S",""))</f>
        <v/>
      </c>
      <c r="M121" s="53" t="str">
        <f aca="false">IF(SUMPRODUCT((tl_target=$C121)*(tl_sub=M$4)*(tl_align="Primary"))&gt;0,"P",IF(SUMPRODUCT((tl_target=$C121)*(tl_sub=M$4))&gt;0,"S",""))</f>
        <v/>
      </c>
      <c r="N121" s="53" t="str">
        <f aca="false">IF(SUMPRODUCT((tl_target=$C121)*(tl_sub=N$4)*(tl_align="Primary"))&gt;0,"P",IF(SUMPRODUCT((tl_target=$C121)*(tl_sub=N$4))&gt;0,"S",""))</f>
        <v/>
      </c>
      <c r="O121" s="53" t="str">
        <f aca="false">IF(SUMPRODUCT((tl_target=$C121)*(tl_sub=O$4)*(tl_align="Primary"))&gt;0,"P",IF(SUMPRODUCT((tl_target=$C121)*(tl_sub=O$4))&gt;0,"S",""))</f>
        <v/>
      </c>
      <c r="P121" s="53" t="str">
        <f aca="false">IF(SUMPRODUCT((tl_target=$C121)*(tl_sub=P$4)*(tl_align="Primary"))&gt;0,"P",IF(SUMPRODUCT((tl_target=$C121)*(tl_sub=P$4))&gt;0,"S",""))</f>
        <v/>
      </c>
      <c r="Q121" s="53" t="str">
        <f aca="false">IF(SUMPRODUCT((tl_target=$C121)*(tl_sub=Q$4)*(tl_align="Primary"))&gt;0,"P",IF(SUMPRODUCT((tl_target=$C121)*(tl_sub=Q$4))&gt;0,"S",""))</f>
        <v/>
      </c>
      <c r="R121" s="69" t="str">
        <f aca="false">_xlfn.TEXTJOIN(", ",TRUE(),IF(SUMPRODUCT((tl_target=$C121)*(tl_principle="PP1"))&gt;0,"PP1",""),IF(SUMPRODUCT((tl_target=$C121)*(tl_principle="PP2"))&gt;0,"PP2",""),IF(SUMPRODUCT((tl_target=$C121)*(tl_principle="PP3"))&gt;0,"PP3",""),IF(SUMPRODUCT((tl_target=$C121)*(tl_principle="PP4"))&gt;0,"PP4",""))</f>
        <v/>
      </c>
      <c r="S121" s="9" t="n">
        <f aca="false">SUMPRODUCT(--(tl_target=$C121))</f>
        <v>0</v>
      </c>
      <c r="T121" s="53" t="str">
        <f aca="false">IF(SUMPRODUCT((tl_target=$C121)*(tl_align="Primary"))&gt;0,"Primary link",IF(S121&gt;0,"Secondary only","Gap"))</f>
        <v>Gap</v>
      </c>
      <c r="U121" s="66"/>
      <c r="V121" s="66"/>
      <c r="W121" s="66"/>
      <c r="X121" s="66"/>
      <c r="Y121" s="66"/>
    </row>
    <row r="122" customFormat="false" ht="46.25" hidden="false" customHeight="false" outlineLevel="0" collapsed="false">
      <c r="A122" s="58" t="n">
        <v>14</v>
      </c>
      <c r="B122" s="5" t="s">
        <v>563</v>
      </c>
      <c r="C122" s="13" t="s">
        <v>788</v>
      </c>
      <c r="D122" s="5" t="s">
        <v>499</v>
      </c>
      <c r="E122" s="5"/>
      <c r="F122" s="5" t="s">
        <v>789</v>
      </c>
      <c r="G122" s="9" t="n">
        <v>1</v>
      </c>
      <c r="H122" s="53" t="str">
        <f aca="false">IF(SUMPRODUCT((tl_target=$C122)*(tl_sub=H$4)*(tl_align="Primary"))&gt;0,"P",IF(SUMPRODUCT((tl_target=$C122)*(tl_sub=H$4))&gt;0,"S",""))</f>
        <v/>
      </c>
      <c r="I122" s="53" t="str">
        <f aca="false">IF(SUMPRODUCT((tl_target=$C122)*(tl_sub=I$4)*(tl_align="Primary"))&gt;0,"P",IF(SUMPRODUCT((tl_target=$C122)*(tl_sub=I$4))&gt;0,"S",""))</f>
        <v/>
      </c>
      <c r="J122" s="53" t="str">
        <f aca="false">IF(SUMPRODUCT((tl_target=$C122)*(tl_sub=J$4)*(tl_align="Primary"))&gt;0,"P",IF(SUMPRODUCT((tl_target=$C122)*(tl_sub=J$4))&gt;0,"S",""))</f>
        <v/>
      </c>
      <c r="K122" s="53" t="str">
        <f aca="false">IF(SUMPRODUCT((tl_target=$C122)*(tl_sub=K$4)*(tl_align="Primary"))&gt;0,"P",IF(SUMPRODUCT((tl_target=$C122)*(tl_sub=K$4))&gt;0,"S",""))</f>
        <v/>
      </c>
      <c r="L122" s="53" t="str">
        <f aca="false">IF(SUMPRODUCT((tl_target=$C122)*(tl_sub=L$4)*(tl_align="Primary"))&gt;0,"P",IF(SUMPRODUCT((tl_target=$C122)*(tl_sub=L$4))&gt;0,"S",""))</f>
        <v/>
      </c>
      <c r="M122" s="53" t="str">
        <f aca="false">IF(SUMPRODUCT((tl_target=$C122)*(tl_sub=M$4)*(tl_align="Primary"))&gt;0,"P",IF(SUMPRODUCT((tl_target=$C122)*(tl_sub=M$4))&gt;0,"S",""))</f>
        <v/>
      </c>
      <c r="N122" s="53" t="str">
        <f aca="false">IF(SUMPRODUCT((tl_target=$C122)*(tl_sub=N$4)*(tl_align="Primary"))&gt;0,"P",IF(SUMPRODUCT((tl_target=$C122)*(tl_sub=N$4))&gt;0,"S",""))</f>
        <v/>
      </c>
      <c r="O122" s="53" t="str">
        <f aca="false">IF(SUMPRODUCT((tl_target=$C122)*(tl_sub=O$4)*(tl_align="Primary"))&gt;0,"P",IF(SUMPRODUCT((tl_target=$C122)*(tl_sub=O$4))&gt;0,"S",""))</f>
        <v/>
      </c>
      <c r="P122" s="53" t="str">
        <f aca="false">IF(SUMPRODUCT((tl_target=$C122)*(tl_sub=P$4)*(tl_align="Primary"))&gt;0,"P",IF(SUMPRODUCT((tl_target=$C122)*(tl_sub=P$4))&gt;0,"S",""))</f>
        <v/>
      </c>
      <c r="Q122" s="53" t="str">
        <f aca="false">IF(SUMPRODUCT((tl_target=$C122)*(tl_sub=Q$4)*(tl_align="Primary"))&gt;0,"P",IF(SUMPRODUCT((tl_target=$C122)*(tl_sub=Q$4))&gt;0,"S",""))</f>
        <v/>
      </c>
      <c r="R122" s="69" t="str">
        <f aca="false">_xlfn.TEXTJOIN(", ",TRUE(),IF(SUMPRODUCT((tl_target=$C122)*(tl_principle="PP1"))&gt;0,"PP1",""),IF(SUMPRODUCT((tl_target=$C122)*(tl_principle="PP2"))&gt;0,"PP2",""),IF(SUMPRODUCT((tl_target=$C122)*(tl_principle="PP3"))&gt;0,"PP3",""),IF(SUMPRODUCT((tl_target=$C122)*(tl_principle="PP4"))&gt;0,"PP4",""))</f>
        <v/>
      </c>
      <c r="S122" s="9" t="n">
        <f aca="false">SUMPRODUCT(--(tl_target=$C122))</f>
        <v>0</v>
      </c>
      <c r="T122" s="53" t="str">
        <f aca="false">IF(SUMPRODUCT((tl_target=$C122)*(tl_align="Primary"))&gt;0,"Primary link",IF(S122&gt;0,"Secondary only","Gap"))</f>
        <v>Gap</v>
      </c>
      <c r="U122" s="66"/>
      <c r="V122" s="66"/>
      <c r="W122" s="66"/>
      <c r="X122" s="66"/>
      <c r="Y122" s="66"/>
    </row>
    <row r="123" customFormat="false" ht="23.85" hidden="false" customHeight="false" outlineLevel="0" collapsed="false">
      <c r="A123" s="58" t="n">
        <v>14</v>
      </c>
      <c r="B123" s="5" t="s">
        <v>563</v>
      </c>
      <c r="C123" s="13" t="s">
        <v>790</v>
      </c>
      <c r="D123" s="5" t="s">
        <v>499</v>
      </c>
      <c r="E123" s="5"/>
      <c r="F123" s="5" t="s">
        <v>791</v>
      </c>
      <c r="G123" s="9" t="n">
        <v>1</v>
      </c>
      <c r="H123" s="53" t="str">
        <f aca="false">IF(SUMPRODUCT((tl_target=$C123)*(tl_sub=H$4)*(tl_align="Primary"))&gt;0,"P",IF(SUMPRODUCT((tl_target=$C123)*(tl_sub=H$4))&gt;0,"S",""))</f>
        <v/>
      </c>
      <c r="I123" s="53" t="str">
        <f aca="false">IF(SUMPRODUCT((tl_target=$C123)*(tl_sub=I$4)*(tl_align="Primary"))&gt;0,"P",IF(SUMPRODUCT((tl_target=$C123)*(tl_sub=I$4))&gt;0,"S",""))</f>
        <v/>
      </c>
      <c r="J123" s="53" t="str">
        <f aca="false">IF(SUMPRODUCT((tl_target=$C123)*(tl_sub=J$4)*(tl_align="Primary"))&gt;0,"P",IF(SUMPRODUCT((tl_target=$C123)*(tl_sub=J$4))&gt;0,"S",""))</f>
        <v/>
      </c>
      <c r="K123" s="53" t="str">
        <f aca="false">IF(SUMPRODUCT((tl_target=$C123)*(tl_sub=K$4)*(tl_align="Primary"))&gt;0,"P",IF(SUMPRODUCT((tl_target=$C123)*(tl_sub=K$4))&gt;0,"S",""))</f>
        <v/>
      </c>
      <c r="L123" s="53" t="str">
        <f aca="false">IF(SUMPRODUCT((tl_target=$C123)*(tl_sub=L$4)*(tl_align="Primary"))&gt;0,"P",IF(SUMPRODUCT((tl_target=$C123)*(tl_sub=L$4))&gt;0,"S",""))</f>
        <v/>
      </c>
      <c r="M123" s="53" t="str">
        <f aca="false">IF(SUMPRODUCT((tl_target=$C123)*(tl_sub=M$4)*(tl_align="Primary"))&gt;0,"P",IF(SUMPRODUCT((tl_target=$C123)*(tl_sub=M$4))&gt;0,"S",""))</f>
        <v/>
      </c>
      <c r="N123" s="53" t="str">
        <f aca="false">IF(SUMPRODUCT((tl_target=$C123)*(tl_sub=N$4)*(tl_align="Primary"))&gt;0,"P",IF(SUMPRODUCT((tl_target=$C123)*(tl_sub=N$4))&gt;0,"S",""))</f>
        <v/>
      </c>
      <c r="O123" s="53" t="str">
        <f aca="false">IF(SUMPRODUCT((tl_target=$C123)*(tl_sub=O$4)*(tl_align="Primary"))&gt;0,"P",IF(SUMPRODUCT((tl_target=$C123)*(tl_sub=O$4))&gt;0,"S",""))</f>
        <v/>
      </c>
      <c r="P123" s="53" t="str">
        <f aca="false">IF(SUMPRODUCT((tl_target=$C123)*(tl_sub=P$4)*(tl_align="Primary"))&gt;0,"P",IF(SUMPRODUCT((tl_target=$C123)*(tl_sub=P$4))&gt;0,"S",""))</f>
        <v/>
      </c>
      <c r="Q123" s="53" t="str">
        <f aca="false">IF(SUMPRODUCT((tl_target=$C123)*(tl_sub=Q$4)*(tl_align="Primary"))&gt;0,"P",IF(SUMPRODUCT((tl_target=$C123)*(tl_sub=Q$4))&gt;0,"S",""))</f>
        <v/>
      </c>
      <c r="R123" s="69" t="str">
        <f aca="false">_xlfn.TEXTJOIN(", ",TRUE(),IF(SUMPRODUCT((tl_target=$C123)*(tl_principle="PP1"))&gt;0,"PP1",""),IF(SUMPRODUCT((tl_target=$C123)*(tl_principle="PP2"))&gt;0,"PP2",""),IF(SUMPRODUCT((tl_target=$C123)*(tl_principle="PP3"))&gt;0,"PP3",""),IF(SUMPRODUCT((tl_target=$C123)*(tl_principle="PP4"))&gt;0,"PP4",""))</f>
        <v/>
      </c>
      <c r="S123" s="9" t="n">
        <f aca="false">SUMPRODUCT(--(tl_target=$C123))</f>
        <v>0</v>
      </c>
      <c r="T123" s="53" t="str">
        <f aca="false">IF(SUMPRODUCT((tl_target=$C123)*(tl_align="Primary"))&gt;0,"Primary link",IF(S123&gt;0,"Secondary only","Gap"))</f>
        <v>Gap</v>
      </c>
      <c r="U123" s="66"/>
      <c r="V123" s="66"/>
      <c r="W123" s="66"/>
      <c r="X123" s="66"/>
      <c r="Y123" s="66"/>
    </row>
    <row r="124" customFormat="false" ht="57.45" hidden="false" customHeight="false" outlineLevel="0" collapsed="false">
      <c r="A124" s="58" t="n">
        <v>14</v>
      </c>
      <c r="B124" s="5" t="s">
        <v>563</v>
      </c>
      <c r="C124" s="13" t="s">
        <v>792</v>
      </c>
      <c r="D124" s="5" t="s">
        <v>499</v>
      </c>
      <c r="E124" s="5"/>
      <c r="F124" s="5" t="s">
        <v>793</v>
      </c>
      <c r="G124" s="9" t="n">
        <v>1</v>
      </c>
      <c r="H124" s="53" t="str">
        <f aca="false">IF(SUMPRODUCT((tl_target=$C124)*(tl_sub=H$4)*(tl_align="Primary"))&gt;0,"P",IF(SUMPRODUCT((tl_target=$C124)*(tl_sub=H$4))&gt;0,"S",""))</f>
        <v/>
      </c>
      <c r="I124" s="53" t="str">
        <f aca="false">IF(SUMPRODUCT((tl_target=$C124)*(tl_sub=I$4)*(tl_align="Primary"))&gt;0,"P",IF(SUMPRODUCT((tl_target=$C124)*(tl_sub=I$4))&gt;0,"S",""))</f>
        <v/>
      </c>
      <c r="J124" s="53" t="str">
        <f aca="false">IF(SUMPRODUCT((tl_target=$C124)*(tl_sub=J$4)*(tl_align="Primary"))&gt;0,"P",IF(SUMPRODUCT((tl_target=$C124)*(tl_sub=J$4))&gt;0,"S",""))</f>
        <v/>
      </c>
      <c r="K124" s="53" t="str">
        <f aca="false">IF(SUMPRODUCT((tl_target=$C124)*(tl_sub=K$4)*(tl_align="Primary"))&gt;0,"P",IF(SUMPRODUCT((tl_target=$C124)*(tl_sub=K$4))&gt;0,"S",""))</f>
        <v/>
      </c>
      <c r="L124" s="53" t="str">
        <f aca="false">IF(SUMPRODUCT((tl_target=$C124)*(tl_sub=L$4)*(tl_align="Primary"))&gt;0,"P",IF(SUMPRODUCT((tl_target=$C124)*(tl_sub=L$4))&gt;0,"S",""))</f>
        <v/>
      </c>
      <c r="M124" s="53" t="str">
        <f aca="false">IF(SUMPRODUCT((tl_target=$C124)*(tl_sub=M$4)*(tl_align="Primary"))&gt;0,"P",IF(SUMPRODUCT((tl_target=$C124)*(tl_sub=M$4))&gt;0,"S",""))</f>
        <v/>
      </c>
      <c r="N124" s="53" t="str">
        <f aca="false">IF(SUMPRODUCT((tl_target=$C124)*(tl_sub=N$4)*(tl_align="Primary"))&gt;0,"P",IF(SUMPRODUCT((tl_target=$C124)*(tl_sub=N$4))&gt;0,"S",""))</f>
        <v/>
      </c>
      <c r="O124" s="53" t="str">
        <f aca="false">IF(SUMPRODUCT((tl_target=$C124)*(tl_sub=O$4)*(tl_align="Primary"))&gt;0,"P",IF(SUMPRODUCT((tl_target=$C124)*(tl_sub=O$4))&gt;0,"S",""))</f>
        <v/>
      </c>
      <c r="P124" s="53" t="str">
        <f aca="false">IF(SUMPRODUCT((tl_target=$C124)*(tl_sub=P$4)*(tl_align="Primary"))&gt;0,"P",IF(SUMPRODUCT((tl_target=$C124)*(tl_sub=P$4))&gt;0,"S",""))</f>
        <v/>
      </c>
      <c r="Q124" s="53" t="str">
        <f aca="false">IF(SUMPRODUCT((tl_target=$C124)*(tl_sub=Q$4)*(tl_align="Primary"))&gt;0,"P",IF(SUMPRODUCT((tl_target=$C124)*(tl_sub=Q$4))&gt;0,"S",""))</f>
        <v/>
      </c>
      <c r="R124" s="69" t="str">
        <f aca="false">_xlfn.TEXTJOIN(", ",TRUE(),IF(SUMPRODUCT((tl_target=$C124)*(tl_principle="PP1"))&gt;0,"PP1",""),IF(SUMPRODUCT((tl_target=$C124)*(tl_principle="PP2"))&gt;0,"PP2",""),IF(SUMPRODUCT((tl_target=$C124)*(tl_principle="PP3"))&gt;0,"PP3",""),IF(SUMPRODUCT((tl_target=$C124)*(tl_principle="PP4"))&gt;0,"PP4",""))</f>
        <v/>
      </c>
      <c r="S124" s="9" t="n">
        <f aca="false">SUMPRODUCT(--(tl_target=$C124))</f>
        <v>0</v>
      </c>
      <c r="T124" s="53" t="str">
        <f aca="false">IF(SUMPRODUCT((tl_target=$C124)*(tl_align="Primary"))&gt;0,"Primary link",IF(S124&gt;0,"Secondary only","Gap"))</f>
        <v>Gap</v>
      </c>
      <c r="U124" s="66"/>
      <c r="V124" s="66"/>
      <c r="W124" s="66"/>
      <c r="X124" s="66"/>
      <c r="Y124" s="66"/>
    </row>
    <row r="125" customFormat="false" ht="35.05" hidden="false" customHeight="false" outlineLevel="0" collapsed="false">
      <c r="A125" s="58" t="n">
        <v>14</v>
      </c>
      <c r="B125" s="5" t="s">
        <v>563</v>
      </c>
      <c r="C125" s="13" t="s">
        <v>794</v>
      </c>
      <c r="D125" s="5" t="s">
        <v>499</v>
      </c>
      <c r="E125" s="5"/>
      <c r="F125" s="5" t="s">
        <v>795</v>
      </c>
      <c r="G125" s="9" t="n">
        <v>1</v>
      </c>
      <c r="H125" s="53" t="str">
        <f aca="false">IF(SUMPRODUCT((tl_target=$C125)*(tl_sub=H$4)*(tl_align="Primary"))&gt;0,"P",IF(SUMPRODUCT((tl_target=$C125)*(tl_sub=H$4))&gt;0,"S",""))</f>
        <v/>
      </c>
      <c r="I125" s="53" t="str">
        <f aca="false">IF(SUMPRODUCT((tl_target=$C125)*(tl_sub=I$4)*(tl_align="Primary"))&gt;0,"P",IF(SUMPRODUCT((tl_target=$C125)*(tl_sub=I$4))&gt;0,"S",""))</f>
        <v/>
      </c>
      <c r="J125" s="53" t="str">
        <f aca="false">IF(SUMPRODUCT((tl_target=$C125)*(tl_sub=J$4)*(tl_align="Primary"))&gt;0,"P",IF(SUMPRODUCT((tl_target=$C125)*(tl_sub=J$4))&gt;0,"S",""))</f>
        <v/>
      </c>
      <c r="K125" s="53" t="str">
        <f aca="false">IF(SUMPRODUCT((tl_target=$C125)*(tl_sub=K$4)*(tl_align="Primary"))&gt;0,"P",IF(SUMPRODUCT((tl_target=$C125)*(tl_sub=K$4))&gt;0,"S",""))</f>
        <v/>
      </c>
      <c r="L125" s="53" t="str">
        <f aca="false">IF(SUMPRODUCT((tl_target=$C125)*(tl_sub=L$4)*(tl_align="Primary"))&gt;0,"P",IF(SUMPRODUCT((tl_target=$C125)*(tl_sub=L$4))&gt;0,"S",""))</f>
        <v/>
      </c>
      <c r="M125" s="53" t="str">
        <f aca="false">IF(SUMPRODUCT((tl_target=$C125)*(tl_sub=M$4)*(tl_align="Primary"))&gt;0,"P",IF(SUMPRODUCT((tl_target=$C125)*(tl_sub=M$4))&gt;0,"S",""))</f>
        <v/>
      </c>
      <c r="N125" s="53" t="str">
        <f aca="false">IF(SUMPRODUCT((tl_target=$C125)*(tl_sub=N$4)*(tl_align="Primary"))&gt;0,"P",IF(SUMPRODUCT((tl_target=$C125)*(tl_sub=N$4))&gt;0,"S",""))</f>
        <v/>
      </c>
      <c r="O125" s="53" t="str">
        <f aca="false">IF(SUMPRODUCT((tl_target=$C125)*(tl_sub=O$4)*(tl_align="Primary"))&gt;0,"P",IF(SUMPRODUCT((tl_target=$C125)*(tl_sub=O$4))&gt;0,"S",""))</f>
        <v/>
      </c>
      <c r="P125" s="53" t="str">
        <f aca="false">IF(SUMPRODUCT((tl_target=$C125)*(tl_sub=P$4)*(tl_align="Primary"))&gt;0,"P",IF(SUMPRODUCT((tl_target=$C125)*(tl_sub=P$4))&gt;0,"S",""))</f>
        <v/>
      </c>
      <c r="Q125" s="53" t="str">
        <f aca="false">IF(SUMPRODUCT((tl_target=$C125)*(tl_sub=Q$4)*(tl_align="Primary"))&gt;0,"P",IF(SUMPRODUCT((tl_target=$C125)*(tl_sub=Q$4))&gt;0,"S",""))</f>
        <v/>
      </c>
      <c r="R125" s="69" t="str">
        <f aca="false">_xlfn.TEXTJOIN(", ",TRUE(),IF(SUMPRODUCT((tl_target=$C125)*(tl_principle="PP1"))&gt;0,"PP1",""),IF(SUMPRODUCT((tl_target=$C125)*(tl_principle="PP2"))&gt;0,"PP2",""),IF(SUMPRODUCT((tl_target=$C125)*(tl_principle="PP3"))&gt;0,"PP3",""),IF(SUMPRODUCT((tl_target=$C125)*(tl_principle="PP4"))&gt;0,"PP4",""))</f>
        <v/>
      </c>
      <c r="S125" s="9" t="n">
        <f aca="false">SUMPRODUCT(--(tl_target=$C125))</f>
        <v>0</v>
      </c>
      <c r="T125" s="53" t="str">
        <f aca="false">IF(SUMPRODUCT((tl_target=$C125)*(tl_align="Primary"))&gt;0,"Primary link",IF(S125&gt;0,"Secondary only","Gap"))</f>
        <v>Gap</v>
      </c>
      <c r="U125" s="66"/>
      <c r="V125" s="66"/>
      <c r="W125" s="66"/>
      <c r="X125" s="66"/>
      <c r="Y125" s="66"/>
    </row>
    <row r="126" customFormat="false" ht="68.65" hidden="false" customHeight="false" outlineLevel="0" collapsed="false">
      <c r="A126" s="58" t="n">
        <v>14</v>
      </c>
      <c r="B126" s="5" t="s">
        <v>563</v>
      </c>
      <c r="C126" s="13" t="s">
        <v>796</v>
      </c>
      <c r="D126" s="5" t="s">
        <v>499</v>
      </c>
      <c r="E126" s="5"/>
      <c r="F126" s="5" t="s">
        <v>797</v>
      </c>
      <c r="G126" s="9" t="n">
        <v>1</v>
      </c>
      <c r="H126" s="53" t="str">
        <f aca="false">IF(SUMPRODUCT((tl_target=$C126)*(tl_sub=H$4)*(tl_align="Primary"))&gt;0,"P",IF(SUMPRODUCT((tl_target=$C126)*(tl_sub=H$4))&gt;0,"S",""))</f>
        <v/>
      </c>
      <c r="I126" s="53" t="str">
        <f aca="false">IF(SUMPRODUCT((tl_target=$C126)*(tl_sub=I$4)*(tl_align="Primary"))&gt;0,"P",IF(SUMPRODUCT((tl_target=$C126)*(tl_sub=I$4))&gt;0,"S",""))</f>
        <v/>
      </c>
      <c r="J126" s="53" t="str">
        <f aca="false">IF(SUMPRODUCT((tl_target=$C126)*(tl_sub=J$4)*(tl_align="Primary"))&gt;0,"P",IF(SUMPRODUCT((tl_target=$C126)*(tl_sub=J$4))&gt;0,"S",""))</f>
        <v/>
      </c>
      <c r="K126" s="53" t="str">
        <f aca="false">IF(SUMPRODUCT((tl_target=$C126)*(tl_sub=K$4)*(tl_align="Primary"))&gt;0,"P",IF(SUMPRODUCT((tl_target=$C126)*(tl_sub=K$4))&gt;0,"S",""))</f>
        <v/>
      </c>
      <c r="L126" s="53" t="str">
        <f aca="false">IF(SUMPRODUCT((tl_target=$C126)*(tl_sub=L$4)*(tl_align="Primary"))&gt;0,"P",IF(SUMPRODUCT((tl_target=$C126)*(tl_sub=L$4))&gt;0,"S",""))</f>
        <v/>
      </c>
      <c r="M126" s="53" t="str">
        <f aca="false">IF(SUMPRODUCT((tl_target=$C126)*(tl_sub=M$4)*(tl_align="Primary"))&gt;0,"P",IF(SUMPRODUCT((tl_target=$C126)*(tl_sub=M$4))&gt;0,"S",""))</f>
        <v/>
      </c>
      <c r="N126" s="53" t="str">
        <f aca="false">IF(SUMPRODUCT((tl_target=$C126)*(tl_sub=N$4)*(tl_align="Primary"))&gt;0,"P",IF(SUMPRODUCT((tl_target=$C126)*(tl_sub=N$4))&gt;0,"S",""))</f>
        <v/>
      </c>
      <c r="O126" s="53" t="str">
        <f aca="false">IF(SUMPRODUCT((tl_target=$C126)*(tl_sub=O$4)*(tl_align="Primary"))&gt;0,"P",IF(SUMPRODUCT((tl_target=$C126)*(tl_sub=O$4))&gt;0,"S",""))</f>
        <v/>
      </c>
      <c r="P126" s="53" t="str">
        <f aca="false">IF(SUMPRODUCT((tl_target=$C126)*(tl_sub=P$4)*(tl_align="Primary"))&gt;0,"P",IF(SUMPRODUCT((tl_target=$C126)*(tl_sub=P$4))&gt;0,"S",""))</f>
        <v/>
      </c>
      <c r="Q126" s="53" t="str">
        <f aca="false">IF(SUMPRODUCT((tl_target=$C126)*(tl_sub=Q$4)*(tl_align="Primary"))&gt;0,"P",IF(SUMPRODUCT((tl_target=$C126)*(tl_sub=Q$4))&gt;0,"S",""))</f>
        <v/>
      </c>
      <c r="R126" s="69" t="str">
        <f aca="false">_xlfn.TEXTJOIN(", ",TRUE(),IF(SUMPRODUCT((tl_target=$C126)*(tl_principle="PP1"))&gt;0,"PP1",""),IF(SUMPRODUCT((tl_target=$C126)*(tl_principle="PP2"))&gt;0,"PP2",""),IF(SUMPRODUCT((tl_target=$C126)*(tl_principle="PP3"))&gt;0,"PP3",""),IF(SUMPRODUCT((tl_target=$C126)*(tl_principle="PP4"))&gt;0,"PP4",""))</f>
        <v/>
      </c>
      <c r="S126" s="9" t="n">
        <f aca="false">SUMPRODUCT(--(tl_target=$C126))</f>
        <v>0</v>
      </c>
      <c r="T126" s="53" t="str">
        <f aca="false">IF(SUMPRODUCT((tl_target=$C126)*(tl_align="Primary"))&gt;0,"Primary link",IF(S126&gt;0,"Secondary only","Gap"))</f>
        <v>Gap</v>
      </c>
      <c r="U126" s="66"/>
      <c r="V126" s="66"/>
      <c r="W126" s="66"/>
      <c r="X126" s="66"/>
      <c r="Y126" s="66"/>
    </row>
    <row r="127" customFormat="false" ht="46.25" hidden="false" customHeight="false" outlineLevel="0" collapsed="false">
      <c r="A127" s="58" t="n">
        <v>14</v>
      </c>
      <c r="B127" s="5" t="s">
        <v>563</v>
      </c>
      <c r="C127" s="13" t="s">
        <v>798</v>
      </c>
      <c r="D127" s="5" t="s">
        <v>499</v>
      </c>
      <c r="E127" s="5"/>
      <c r="F127" s="5" t="s">
        <v>799</v>
      </c>
      <c r="G127" s="9" t="n">
        <v>1</v>
      </c>
      <c r="H127" s="53" t="str">
        <f aca="false">IF(SUMPRODUCT((tl_target=$C127)*(tl_sub=H$4)*(tl_align="Primary"))&gt;0,"P",IF(SUMPRODUCT((tl_target=$C127)*(tl_sub=H$4))&gt;0,"S",""))</f>
        <v/>
      </c>
      <c r="I127" s="53" t="str">
        <f aca="false">IF(SUMPRODUCT((tl_target=$C127)*(tl_sub=I$4)*(tl_align="Primary"))&gt;0,"P",IF(SUMPRODUCT((tl_target=$C127)*(tl_sub=I$4))&gt;0,"S",""))</f>
        <v/>
      </c>
      <c r="J127" s="53" t="str">
        <f aca="false">IF(SUMPRODUCT((tl_target=$C127)*(tl_sub=J$4)*(tl_align="Primary"))&gt;0,"P",IF(SUMPRODUCT((tl_target=$C127)*(tl_sub=J$4))&gt;0,"S",""))</f>
        <v/>
      </c>
      <c r="K127" s="53" t="str">
        <f aca="false">IF(SUMPRODUCT((tl_target=$C127)*(tl_sub=K$4)*(tl_align="Primary"))&gt;0,"P",IF(SUMPRODUCT((tl_target=$C127)*(tl_sub=K$4))&gt;0,"S",""))</f>
        <v/>
      </c>
      <c r="L127" s="53" t="str">
        <f aca="false">IF(SUMPRODUCT((tl_target=$C127)*(tl_sub=L$4)*(tl_align="Primary"))&gt;0,"P",IF(SUMPRODUCT((tl_target=$C127)*(tl_sub=L$4))&gt;0,"S",""))</f>
        <v/>
      </c>
      <c r="M127" s="53" t="str">
        <f aca="false">IF(SUMPRODUCT((tl_target=$C127)*(tl_sub=M$4)*(tl_align="Primary"))&gt;0,"P",IF(SUMPRODUCT((tl_target=$C127)*(tl_sub=M$4))&gt;0,"S",""))</f>
        <v/>
      </c>
      <c r="N127" s="53" t="str">
        <f aca="false">IF(SUMPRODUCT((tl_target=$C127)*(tl_sub=N$4)*(tl_align="Primary"))&gt;0,"P",IF(SUMPRODUCT((tl_target=$C127)*(tl_sub=N$4))&gt;0,"S",""))</f>
        <v/>
      </c>
      <c r="O127" s="53" t="str">
        <f aca="false">IF(SUMPRODUCT((tl_target=$C127)*(tl_sub=O$4)*(tl_align="Primary"))&gt;0,"P",IF(SUMPRODUCT((tl_target=$C127)*(tl_sub=O$4))&gt;0,"S",""))</f>
        <v/>
      </c>
      <c r="P127" s="53" t="str">
        <f aca="false">IF(SUMPRODUCT((tl_target=$C127)*(tl_sub=P$4)*(tl_align="Primary"))&gt;0,"P",IF(SUMPRODUCT((tl_target=$C127)*(tl_sub=P$4))&gt;0,"S",""))</f>
        <v/>
      </c>
      <c r="Q127" s="53" t="str">
        <f aca="false">IF(SUMPRODUCT((tl_target=$C127)*(tl_sub=Q$4)*(tl_align="Primary"))&gt;0,"P",IF(SUMPRODUCT((tl_target=$C127)*(tl_sub=Q$4))&gt;0,"S",""))</f>
        <v/>
      </c>
      <c r="R127" s="69" t="str">
        <f aca="false">_xlfn.TEXTJOIN(", ",TRUE(),IF(SUMPRODUCT((tl_target=$C127)*(tl_principle="PP1"))&gt;0,"PP1",""),IF(SUMPRODUCT((tl_target=$C127)*(tl_principle="PP2"))&gt;0,"PP2",""),IF(SUMPRODUCT((tl_target=$C127)*(tl_principle="PP3"))&gt;0,"PP3",""),IF(SUMPRODUCT((tl_target=$C127)*(tl_principle="PP4"))&gt;0,"PP4",""))</f>
        <v/>
      </c>
      <c r="S127" s="9" t="n">
        <f aca="false">SUMPRODUCT(--(tl_target=$C127))</f>
        <v>0</v>
      </c>
      <c r="T127" s="53" t="str">
        <f aca="false">IF(SUMPRODUCT((tl_target=$C127)*(tl_align="Primary"))&gt;0,"Primary link",IF(S127&gt;0,"Secondary only","Gap"))</f>
        <v>Gap</v>
      </c>
      <c r="U127" s="66"/>
      <c r="V127" s="66"/>
      <c r="W127" s="66"/>
      <c r="X127" s="66"/>
      <c r="Y127" s="66"/>
    </row>
    <row r="128" customFormat="false" ht="68.65" hidden="false" customHeight="false" outlineLevel="0" collapsed="false">
      <c r="A128" s="58" t="n">
        <v>14</v>
      </c>
      <c r="B128" s="5" t="s">
        <v>563</v>
      </c>
      <c r="C128" s="13" t="s">
        <v>800</v>
      </c>
      <c r="D128" s="5" t="s">
        <v>612</v>
      </c>
      <c r="E128" s="5"/>
      <c r="F128" s="5" t="s">
        <v>801</v>
      </c>
      <c r="G128" s="9" t="n">
        <v>1</v>
      </c>
      <c r="H128" s="53" t="str">
        <f aca="false">IF(SUMPRODUCT((tl_target=$C128)*(tl_sub=H$4)*(tl_align="Primary"))&gt;0,"P",IF(SUMPRODUCT((tl_target=$C128)*(tl_sub=H$4))&gt;0,"S",""))</f>
        <v/>
      </c>
      <c r="I128" s="53" t="str">
        <f aca="false">IF(SUMPRODUCT((tl_target=$C128)*(tl_sub=I$4)*(tl_align="Primary"))&gt;0,"P",IF(SUMPRODUCT((tl_target=$C128)*(tl_sub=I$4))&gt;0,"S",""))</f>
        <v/>
      </c>
      <c r="J128" s="53" t="str">
        <f aca="false">IF(SUMPRODUCT((tl_target=$C128)*(tl_sub=J$4)*(tl_align="Primary"))&gt;0,"P",IF(SUMPRODUCT((tl_target=$C128)*(tl_sub=J$4))&gt;0,"S",""))</f>
        <v/>
      </c>
      <c r="K128" s="53" t="str">
        <f aca="false">IF(SUMPRODUCT((tl_target=$C128)*(tl_sub=K$4)*(tl_align="Primary"))&gt;0,"P",IF(SUMPRODUCT((tl_target=$C128)*(tl_sub=K$4))&gt;0,"S",""))</f>
        <v/>
      </c>
      <c r="L128" s="53" t="str">
        <f aca="false">IF(SUMPRODUCT((tl_target=$C128)*(tl_sub=L$4)*(tl_align="Primary"))&gt;0,"P",IF(SUMPRODUCT((tl_target=$C128)*(tl_sub=L$4))&gt;0,"S",""))</f>
        <v/>
      </c>
      <c r="M128" s="53" t="str">
        <f aca="false">IF(SUMPRODUCT((tl_target=$C128)*(tl_sub=M$4)*(tl_align="Primary"))&gt;0,"P",IF(SUMPRODUCT((tl_target=$C128)*(tl_sub=M$4))&gt;0,"S",""))</f>
        <v/>
      </c>
      <c r="N128" s="53" t="str">
        <f aca="false">IF(SUMPRODUCT((tl_target=$C128)*(tl_sub=N$4)*(tl_align="Primary"))&gt;0,"P",IF(SUMPRODUCT((tl_target=$C128)*(tl_sub=N$4))&gt;0,"S",""))</f>
        <v/>
      </c>
      <c r="O128" s="53" t="str">
        <f aca="false">IF(SUMPRODUCT((tl_target=$C128)*(tl_sub=O$4)*(tl_align="Primary"))&gt;0,"P",IF(SUMPRODUCT((tl_target=$C128)*(tl_sub=O$4))&gt;0,"S",""))</f>
        <v/>
      </c>
      <c r="P128" s="53" t="str">
        <f aca="false">IF(SUMPRODUCT((tl_target=$C128)*(tl_sub=P$4)*(tl_align="Primary"))&gt;0,"P",IF(SUMPRODUCT((tl_target=$C128)*(tl_sub=P$4))&gt;0,"S",""))</f>
        <v/>
      </c>
      <c r="Q128" s="53" t="str">
        <f aca="false">IF(SUMPRODUCT((tl_target=$C128)*(tl_sub=Q$4)*(tl_align="Primary"))&gt;0,"P",IF(SUMPRODUCT((tl_target=$C128)*(tl_sub=Q$4))&gt;0,"S",""))</f>
        <v/>
      </c>
      <c r="R128" s="69" t="str">
        <f aca="false">_xlfn.TEXTJOIN(", ",TRUE(),IF(SUMPRODUCT((tl_target=$C128)*(tl_principle="PP1"))&gt;0,"PP1",""),IF(SUMPRODUCT((tl_target=$C128)*(tl_principle="PP2"))&gt;0,"PP2",""),IF(SUMPRODUCT((tl_target=$C128)*(tl_principle="PP3"))&gt;0,"PP3",""),IF(SUMPRODUCT((tl_target=$C128)*(tl_principle="PP4"))&gt;0,"PP4",""))</f>
        <v/>
      </c>
      <c r="S128" s="9" t="n">
        <f aca="false">SUMPRODUCT(--(tl_target=$C128))</f>
        <v>0</v>
      </c>
      <c r="T128" s="53" t="str">
        <f aca="false">IF(SUMPRODUCT((tl_target=$C128)*(tl_align="Primary"))&gt;0,"Primary link",IF(S128&gt;0,"Secondary only","Gap"))</f>
        <v>Gap</v>
      </c>
      <c r="U128" s="66"/>
      <c r="V128" s="66"/>
      <c r="W128" s="66"/>
      <c r="X128" s="66"/>
      <c r="Y128" s="66"/>
    </row>
    <row r="129" customFormat="false" ht="23.85" hidden="false" customHeight="false" outlineLevel="0" collapsed="false">
      <c r="A129" s="58" t="n">
        <v>14</v>
      </c>
      <c r="B129" s="5" t="s">
        <v>563</v>
      </c>
      <c r="C129" s="13" t="s">
        <v>802</v>
      </c>
      <c r="D129" s="5" t="s">
        <v>612</v>
      </c>
      <c r="E129" s="5"/>
      <c r="F129" s="5" t="s">
        <v>803</v>
      </c>
      <c r="G129" s="9" t="n">
        <v>1</v>
      </c>
      <c r="H129" s="53" t="str">
        <f aca="false">IF(SUMPRODUCT((tl_target=$C129)*(tl_sub=H$4)*(tl_align="Primary"))&gt;0,"P",IF(SUMPRODUCT((tl_target=$C129)*(tl_sub=H$4))&gt;0,"S",""))</f>
        <v/>
      </c>
      <c r="I129" s="53" t="str">
        <f aca="false">IF(SUMPRODUCT((tl_target=$C129)*(tl_sub=I$4)*(tl_align="Primary"))&gt;0,"P",IF(SUMPRODUCT((tl_target=$C129)*(tl_sub=I$4))&gt;0,"S",""))</f>
        <v/>
      </c>
      <c r="J129" s="53" t="str">
        <f aca="false">IF(SUMPRODUCT((tl_target=$C129)*(tl_sub=J$4)*(tl_align="Primary"))&gt;0,"P",IF(SUMPRODUCT((tl_target=$C129)*(tl_sub=J$4))&gt;0,"S",""))</f>
        <v/>
      </c>
      <c r="K129" s="53" t="str">
        <f aca="false">IF(SUMPRODUCT((tl_target=$C129)*(tl_sub=K$4)*(tl_align="Primary"))&gt;0,"P",IF(SUMPRODUCT((tl_target=$C129)*(tl_sub=K$4))&gt;0,"S",""))</f>
        <v/>
      </c>
      <c r="L129" s="53" t="str">
        <f aca="false">IF(SUMPRODUCT((tl_target=$C129)*(tl_sub=L$4)*(tl_align="Primary"))&gt;0,"P",IF(SUMPRODUCT((tl_target=$C129)*(tl_sub=L$4))&gt;0,"S",""))</f>
        <v/>
      </c>
      <c r="M129" s="53" t="str">
        <f aca="false">IF(SUMPRODUCT((tl_target=$C129)*(tl_sub=M$4)*(tl_align="Primary"))&gt;0,"P",IF(SUMPRODUCT((tl_target=$C129)*(tl_sub=M$4))&gt;0,"S",""))</f>
        <v/>
      </c>
      <c r="N129" s="53" t="str">
        <f aca="false">IF(SUMPRODUCT((tl_target=$C129)*(tl_sub=N$4)*(tl_align="Primary"))&gt;0,"P",IF(SUMPRODUCT((tl_target=$C129)*(tl_sub=N$4))&gt;0,"S",""))</f>
        <v/>
      </c>
      <c r="O129" s="53" t="str">
        <f aca="false">IF(SUMPRODUCT((tl_target=$C129)*(tl_sub=O$4)*(tl_align="Primary"))&gt;0,"P",IF(SUMPRODUCT((tl_target=$C129)*(tl_sub=O$4))&gt;0,"S",""))</f>
        <v/>
      </c>
      <c r="P129" s="53" t="str">
        <f aca="false">IF(SUMPRODUCT((tl_target=$C129)*(tl_sub=P$4)*(tl_align="Primary"))&gt;0,"P",IF(SUMPRODUCT((tl_target=$C129)*(tl_sub=P$4))&gt;0,"S",""))</f>
        <v/>
      </c>
      <c r="Q129" s="53" t="str">
        <f aca="false">IF(SUMPRODUCT((tl_target=$C129)*(tl_sub=Q$4)*(tl_align="Primary"))&gt;0,"P",IF(SUMPRODUCT((tl_target=$C129)*(tl_sub=Q$4))&gt;0,"S",""))</f>
        <v/>
      </c>
      <c r="R129" s="69" t="str">
        <f aca="false">_xlfn.TEXTJOIN(", ",TRUE(),IF(SUMPRODUCT((tl_target=$C129)*(tl_principle="PP1"))&gt;0,"PP1",""),IF(SUMPRODUCT((tl_target=$C129)*(tl_principle="PP2"))&gt;0,"PP2",""),IF(SUMPRODUCT((tl_target=$C129)*(tl_principle="PP3"))&gt;0,"PP3",""),IF(SUMPRODUCT((tl_target=$C129)*(tl_principle="PP4"))&gt;0,"PP4",""))</f>
        <v/>
      </c>
      <c r="S129" s="9" t="n">
        <f aca="false">SUMPRODUCT(--(tl_target=$C129))</f>
        <v>0</v>
      </c>
      <c r="T129" s="53" t="str">
        <f aca="false">IF(SUMPRODUCT((tl_target=$C129)*(tl_align="Primary"))&gt;0,"Primary link",IF(S129&gt;0,"Secondary only","Gap"))</f>
        <v>Gap</v>
      </c>
      <c r="U129" s="66"/>
      <c r="V129" s="66"/>
      <c r="W129" s="66"/>
      <c r="X129" s="66"/>
      <c r="Y129" s="66"/>
    </row>
    <row r="130" customFormat="false" ht="57.45" hidden="false" customHeight="false" outlineLevel="0" collapsed="false">
      <c r="A130" s="58" t="n">
        <v>14</v>
      </c>
      <c r="B130" s="5" t="s">
        <v>563</v>
      </c>
      <c r="C130" s="13" t="s">
        <v>804</v>
      </c>
      <c r="D130" s="5" t="s">
        <v>612</v>
      </c>
      <c r="E130" s="5"/>
      <c r="F130" s="5" t="s">
        <v>805</v>
      </c>
      <c r="G130" s="9" t="n">
        <v>1</v>
      </c>
      <c r="H130" s="53" t="str">
        <f aca="false">IF(SUMPRODUCT((tl_target=$C130)*(tl_sub=H$4)*(tl_align="Primary"))&gt;0,"P",IF(SUMPRODUCT((tl_target=$C130)*(tl_sub=H$4))&gt;0,"S",""))</f>
        <v/>
      </c>
      <c r="I130" s="53" t="str">
        <f aca="false">IF(SUMPRODUCT((tl_target=$C130)*(tl_sub=I$4)*(tl_align="Primary"))&gt;0,"P",IF(SUMPRODUCT((tl_target=$C130)*(tl_sub=I$4))&gt;0,"S",""))</f>
        <v/>
      </c>
      <c r="J130" s="53" t="str">
        <f aca="false">IF(SUMPRODUCT((tl_target=$C130)*(tl_sub=J$4)*(tl_align="Primary"))&gt;0,"P",IF(SUMPRODUCT((tl_target=$C130)*(tl_sub=J$4))&gt;0,"S",""))</f>
        <v/>
      </c>
      <c r="K130" s="53" t="str">
        <f aca="false">IF(SUMPRODUCT((tl_target=$C130)*(tl_sub=K$4)*(tl_align="Primary"))&gt;0,"P",IF(SUMPRODUCT((tl_target=$C130)*(tl_sub=K$4))&gt;0,"S",""))</f>
        <v/>
      </c>
      <c r="L130" s="53" t="str">
        <f aca="false">IF(SUMPRODUCT((tl_target=$C130)*(tl_sub=L$4)*(tl_align="Primary"))&gt;0,"P",IF(SUMPRODUCT((tl_target=$C130)*(tl_sub=L$4))&gt;0,"S",""))</f>
        <v/>
      </c>
      <c r="M130" s="53" t="str">
        <f aca="false">IF(SUMPRODUCT((tl_target=$C130)*(tl_sub=M$4)*(tl_align="Primary"))&gt;0,"P",IF(SUMPRODUCT((tl_target=$C130)*(tl_sub=M$4))&gt;0,"S",""))</f>
        <v/>
      </c>
      <c r="N130" s="53" t="str">
        <f aca="false">IF(SUMPRODUCT((tl_target=$C130)*(tl_sub=N$4)*(tl_align="Primary"))&gt;0,"P",IF(SUMPRODUCT((tl_target=$C130)*(tl_sub=N$4))&gt;0,"S",""))</f>
        <v/>
      </c>
      <c r="O130" s="53" t="str">
        <f aca="false">IF(SUMPRODUCT((tl_target=$C130)*(tl_sub=O$4)*(tl_align="Primary"))&gt;0,"P",IF(SUMPRODUCT((tl_target=$C130)*(tl_sub=O$4))&gt;0,"S",""))</f>
        <v/>
      </c>
      <c r="P130" s="53" t="str">
        <f aca="false">IF(SUMPRODUCT((tl_target=$C130)*(tl_sub=P$4)*(tl_align="Primary"))&gt;0,"P",IF(SUMPRODUCT((tl_target=$C130)*(tl_sub=P$4))&gt;0,"S",""))</f>
        <v/>
      </c>
      <c r="Q130" s="53" t="str">
        <f aca="false">IF(SUMPRODUCT((tl_target=$C130)*(tl_sub=Q$4)*(tl_align="Primary"))&gt;0,"P",IF(SUMPRODUCT((tl_target=$C130)*(tl_sub=Q$4))&gt;0,"S",""))</f>
        <v/>
      </c>
      <c r="R130" s="69" t="str">
        <f aca="false">_xlfn.TEXTJOIN(", ",TRUE(),IF(SUMPRODUCT((tl_target=$C130)*(tl_principle="PP1"))&gt;0,"PP1",""),IF(SUMPRODUCT((tl_target=$C130)*(tl_principle="PP2"))&gt;0,"PP2",""),IF(SUMPRODUCT((tl_target=$C130)*(tl_principle="PP3"))&gt;0,"PP3",""),IF(SUMPRODUCT((tl_target=$C130)*(tl_principle="PP4"))&gt;0,"PP4",""))</f>
        <v/>
      </c>
      <c r="S130" s="9" t="n">
        <f aca="false">SUMPRODUCT(--(tl_target=$C130))</f>
        <v>0</v>
      </c>
      <c r="T130" s="53" t="str">
        <f aca="false">IF(SUMPRODUCT((tl_target=$C130)*(tl_align="Primary"))&gt;0,"Primary link",IF(S130&gt;0,"Secondary only","Gap"))</f>
        <v>Gap</v>
      </c>
      <c r="U130" s="66"/>
      <c r="V130" s="66"/>
      <c r="W130" s="66"/>
      <c r="X130" s="66"/>
      <c r="Y130" s="66"/>
    </row>
    <row r="131" customFormat="false" ht="46.25" hidden="false" customHeight="false" outlineLevel="0" collapsed="false">
      <c r="A131" s="59" t="n">
        <v>15</v>
      </c>
      <c r="B131" s="5" t="s">
        <v>566</v>
      </c>
      <c r="C131" s="13" t="s">
        <v>806</v>
      </c>
      <c r="D131" s="5" t="s">
        <v>499</v>
      </c>
      <c r="E131" s="5"/>
      <c r="F131" s="5" t="s">
        <v>807</v>
      </c>
      <c r="G131" s="9" t="n">
        <v>2</v>
      </c>
      <c r="H131" s="53" t="str">
        <f aca="false">IF(SUMPRODUCT((tl_target=$C131)*(tl_sub=H$4)*(tl_align="Primary"))&gt;0,"P",IF(SUMPRODUCT((tl_target=$C131)*(tl_sub=H$4))&gt;0,"S",""))</f>
        <v/>
      </c>
      <c r="I131" s="53" t="str">
        <f aca="false">IF(SUMPRODUCT((tl_target=$C131)*(tl_sub=I$4)*(tl_align="Primary"))&gt;0,"P",IF(SUMPRODUCT((tl_target=$C131)*(tl_sub=I$4))&gt;0,"S",""))</f>
        <v/>
      </c>
      <c r="J131" s="53" t="str">
        <f aca="false">IF(SUMPRODUCT((tl_target=$C131)*(tl_sub=J$4)*(tl_align="Primary"))&gt;0,"P",IF(SUMPRODUCT((tl_target=$C131)*(tl_sub=J$4))&gt;0,"S",""))</f>
        <v/>
      </c>
      <c r="K131" s="53" t="str">
        <f aca="false">IF(SUMPRODUCT((tl_target=$C131)*(tl_sub=K$4)*(tl_align="Primary"))&gt;0,"P",IF(SUMPRODUCT((tl_target=$C131)*(tl_sub=K$4))&gt;0,"S",""))</f>
        <v/>
      </c>
      <c r="L131" s="53" t="str">
        <f aca="false">IF(SUMPRODUCT((tl_target=$C131)*(tl_sub=L$4)*(tl_align="Primary"))&gt;0,"P",IF(SUMPRODUCT((tl_target=$C131)*(tl_sub=L$4))&gt;0,"S",""))</f>
        <v/>
      </c>
      <c r="M131" s="53" t="str">
        <f aca="false">IF(SUMPRODUCT((tl_target=$C131)*(tl_sub=M$4)*(tl_align="Primary"))&gt;0,"P",IF(SUMPRODUCT((tl_target=$C131)*(tl_sub=M$4))&gt;0,"S",""))</f>
        <v/>
      </c>
      <c r="N131" s="53" t="str">
        <f aca="false">IF(SUMPRODUCT((tl_target=$C131)*(tl_sub=N$4)*(tl_align="Primary"))&gt;0,"P",IF(SUMPRODUCT((tl_target=$C131)*(tl_sub=N$4))&gt;0,"S",""))</f>
        <v/>
      </c>
      <c r="O131" s="53" t="str">
        <f aca="false">IF(SUMPRODUCT((tl_target=$C131)*(tl_sub=O$4)*(tl_align="Primary"))&gt;0,"P",IF(SUMPRODUCT((tl_target=$C131)*(tl_sub=O$4))&gt;0,"S",""))</f>
        <v/>
      </c>
      <c r="P131" s="53" t="str">
        <f aca="false">IF(SUMPRODUCT((tl_target=$C131)*(tl_sub=P$4)*(tl_align="Primary"))&gt;0,"P",IF(SUMPRODUCT((tl_target=$C131)*(tl_sub=P$4))&gt;0,"S",""))</f>
        <v/>
      </c>
      <c r="Q131" s="53" t="str">
        <f aca="false">IF(SUMPRODUCT((tl_target=$C131)*(tl_sub=Q$4)*(tl_align="Primary"))&gt;0,"P",IF(SUMPRODUCT((tl_target=$C131)*(tl_sub=Q$4))&gt;0,"S",""))</f>
        <v/>
      </c>
      <c r="R131" s="69" t="str">
        <f aca="false">_xlfn.TEXTJOIN(", ",TRUE(),IF(SUMPRODUCT((tl_target=$C131)*(tl_principle="PP1"))&gt;0,"PP1",""),IF(SUMPRODUCT((tl_target=$C131)*(tl_principle="PP2"))&gt;0,"PP2",""),IF(SUMPRODUCT((tl_target=$C131)*(tl_principle="PP3"))&gt;0,"PP3",""),IF(SUMPRODUCT((tl_target=$C131)*(tl_principle="PP4"))&gt;0,"PP4",""))</f>
        <v/>
      </c>
      <c r="S131" s="9" t="n">
        <f aca="false">SUMPRODUCT(--(tl_target=$C131))</f>
        <v>0</v>
      </c>
      <c r="T131" s="53" t="str">
        <f aca="false">IF(SUMPRODUCT((tl_target=$C131)*(tl_align="Primary"))&gt;0,"Primary link",IF(S131&gt;0,"Secondary only","Gap"))</f>
        <v>Gap</v>
      </c>
      <c r="U131" s="66"/>
      <c r="V131" s="66"/>
      <c r="W131" s="66"/>
      <c r="X131" s="66"/>
      <c r="Y131" s="66"/>
    </row>
    <row r="132" customFormat="false" ht="35.05" hidden="false" customHeight="false" outlineLevel="0" collapsed="false">
      <c r="A132" s="59" t="n">
        <v>15</v>
      </c>
      <c r="B132" s="5" t="s">
        <v>566</v>
      </c>
      <c r="C132" s="13" t="s">
        <v>808</v>
      </c>
      <c r="D132" s="5" t="s">
        <v>499</v>
      </c>
      <c r="E132" s="5"/>
      <c r="F132" s="5" t="s">
        <v>809</v>
      </c>
      <c r="G132" s="9" t="n">
        <v>1</v>
      </c>
      <c r="H132" s="53" t="str">
        <f aca="false">IF(SUMPRODUCT((tl_target=$C132)*(tl_sub=H$4)*(tl_align="Primary"))&gt;0,"P",IF(SUMPRODUCT((tl_target=$C132)*(tl_sub=H$4))&gt;0,"S",""))</f>
        <v/>
      </c>
      <c r="I132" s="53" t="str">
        <f aca="false">IF(SUMPRODUCT((tl_target=$C132)*(tl_sub=I$4)*(tl_align="Primary"))&gt;0,"P",IF(SUMPRODUCT((tl_target=$C132)*(tl_sub=I$4))&gt;0,"S",""))</f>
        <v/>
      </c>
      <c r="J132" s="53" t="str">
        <f aca="false">IF(SUMPRODUCT((tl_target=$C132)*(tl_sub=J$4)*(tl_align="Primary"))&gt;0,"P",IF(SUMPRODUCT((tl_target=$C132)*(tl_sub=J$4))&gt;0,"S",""))</f>
        <v/>
      </c>
      <c r="K132" s="53" t="str">
        <f aca="false">IF(SUMPRODUCT((tl_target=$C132)*(tl_sub=K$4)*(tl_align="Primary"))&gt;0,"P",IF(SUMPRODUCT((tl_target=$C132)*(tl_sub=K$4))&gt;0,"S",""))</f>
        <v/>
      </c>
      <c r="L132" s="53" t="str">
        <f aca="false">IF(SUMPRODUCT((tl_target=$C132)*(tl_sub=L$4)*(tl_align="Primary"))&gt;0,"P",IF(SUMPRODUCT((tl_target=$C132)*(tl_sub=L$4))&gt;0,"S",""))</f>
        <v/>
      </c>
      <c r="M132" s="53" t="str">
        <f aca="false">IF(SUMPRODUCT((tl_target=$C132)*(tl_sub=M$4)*(tl_align="Primary"))&gt;0,"P",IF(SUMPRODUCT((tl_target=$C132)*(tl_sub=M$4))&gt;0,"S",""))</f>
        <v/>
      </c>
      <c r="N132" s="53" t="str">
        <f aca="false">IF(SUMPRODUCT((tl_target=$C132)*(tl_sub=N$4)*(tl_align="Primary"))&gt;0,"P",IF(SUMPRODUCT((tl_target=$C132)*(tl_sub=N$4))&gt;0,"S",""))</f>
        <v/>
      </c>
      <c r="O132" s="53" t="str">
        <f aca="false">IF(SUMPRODUCT((tl_target=$C132)*(tl_sub=O$4)*(tl_align="Primary"))&gt;0,"P",IF(SUMPRODUCT((tl_target=$C132)*(tl_sub=O$4))&gt;0,"S",""))</f>
        <v/>
      </c>
      <c r="P132" s="53" t="str">
        <f aca="false">IF(SUMPRODUCT((tl_target=$C132)*(tl_sub=P$4)*(tl_align="Primary"))&gt;0,"P",IF(SUMPRODUCT((tl_target=$C132)*(tl_sub=P$4))&gt;0,"S",""))</f>
        <v/>
      </c>
      <c r="Q132" s="53" t="str">
        <f aca="false">IF(SUMPRODUCT((tl_target=$C132)*(tl_sub=Q$4)*(tl_align="Primary"))&gt;0,"P",IF(SUMPRODUCT((tl_target=$C132)*(tl_sub=Q$4))&gt;0,"S",""))</f>
        <v/>
      </c>
      <c r="R132" s="69" t="str">
        <f aca="false">_xlfn.TEXTJOIN(", ",TRUE(),IF(SUMPRODUCT((tl_target=$C132)*(tl_principle="PP1"))&gt;0,"PP1",""),IF(SUMPRODUCT((tl_target=$C132)*(tl_principle="PP2"))&gt;0,"PP2",""),IF(SUMPRODUCT((tl_target=$C132)*(tl_principle="PP3"))&gt;0,"PP3",""),IF(SUMPRODUCT((tl_target=$C132)*(tl_principle="PP4"))&gt;0,"PP4",""))</f>
        <v/>
      </c>
      <c r="S132" s="9" t="n">
        <f aca="false">SUMPRODUCT(--(tl_target=$C132))</f>
        <v>0</v>
      </c>
      <c r="T132" s="53" t="str">
        <f aca="false">IF(SUMPRODUCT((tl_target=$C132)*(tl_align="Primary"))&gt;0,"Primary link",IF(S132&gt;0,"Secondary only","Gap"))</f>
        <v>Gap</v>
      </c>
      <c r="U132" s="66"/>
      <c r="V132" s="66"/>
      <c r="W132" s="66"/>
      <c r="X132" s="66"/>
      <c r="Y132" s="66"/>
    </row>
    <row r="133" customFormat="false" ht="35.05" hidden="false" customHeight="false" outlineLevel="0" collapsed="false">
      <c r="A133" s="59" t="n">
        <v>15</v>
      </c>
      <c r="B133" s="5" t="s">
        <v>566</v>
      </c>
      <c r="C133" s="13" t="s">
        <v>810</v>
      </c>
      <c r="D133" s="5" t="s">
        <v>499</v>
      </c>
      <c r="E133" s="5"/>
      <c r="F133" s="5" t="s">
        <v>811</v>
      </c>
      <c r="G133" s="9" t="n">
        <v>1</v>
      </c>
      <c r="H133" s="53" t="str">
        <f aca="false">IF(SUMPRODUCT((tl_target=$C133)*(tl_sub=H$4)*(tl_align="Primary"))&gt;0,"P",IF(SUMPRODUCT((tl_target=$C133)*(tl_sub=H$4))&gt;0,"S",""))</f>
        <v/>
      </c>
      <c r="I133" s="53" t="str">
        <f aca="false">IF(SUMPRODUCT((tl_target=$C133)*(tl_sub=I$4)*(tl_align="Primary"))&gt;0,"P",IF(SUMPRODUCT((tl_target=$C133)*(tl_sub=I$4))&gt;0,"S",""))</f>
        <v/>
      </c>
      <c r="J133" s="53" t="str">
        <f aca="false">IF(SUMPRODUCT((tl_target=$C133)*(tl_sub=J$4)*(tl_align="Primary"))&gt;0,"P",IF(SUMPRODUCT((tl_target=$C133)*(tl_sub=J$4))&gt;0,"S",""))</f>
        <v/>
      </c>
      <c r="K133" s="53" t="str">
        <f aca="false">IF(SUMPRODUCT((tl_target=$C133)*(tl_sub=K$4)*(tl_align="Primary"))&gt;0,"P",IF(SUMPRODUCT((tl_target=$C133)*(tl_sub=K$4))&gt;0,"S",""))</f>
        <v/>
      </c>
      <c r="L133" s="53" t="str">
        <f aca="false">IF(SUMPRODUCT((tl_target=$C133)*(tl_sub=L$4)*(tl_align="Primary"))&gt;0,"P",IF(SUMPRODUCT((tl_target=$C133)*(tl_sub=L$4))&gt;0,"S",""))</f>
        <v/>
      </c>
      <c r="M133" s="53" t="str">
        <f aca="false">IF(SUMPRODUCT((tl_target=$C133)*(tl_sub=M$4)*(tl_align="Primary"))&gt;0,"P",IF(SUMPRODUCT((tl_target=$C133)*(tl_sub=M$4))&gt;0,"S",""))</f>
        <v/>
      </c>
      <c r="N133" s="53" t="str">
        <f aca="false">IF(SUMPRODUCT((tl_target=$C133)*(tl_sub=N$4)*(tl_align="Primary"))&gt;0,"P",IF(SUMPRODUCT((tl_target=$C133)*(tl_sub=N$4))&gt;0,"S",""))</f>
        <v/>
      </c>
      <c r="O133" s="53" t="str">
        <f aca="false">IF(SUMPRODUCT((tl_target=$C133)*(tl_sub=O$4)*(tl_align="Primary"))&gt;0,"P",IF(SUMPRODUCT((tl_target=$C133)*(tl_sub=O$4))&gt;0,"S",""))</f>
        <v/>
      </c>
      <c r="P133" s="53" t="str">
        <f aca="false">IF(SUMPRODUCT((tl_target=$C133)*(tl_sub=P$4)*(tl_align="Primary"))&gt;0,"P",IF(SUMPRODUCT((tl_target=$C133)*(tl_sub=P$4))&gt;0,"S",""))</f>
        <v/>
      </c>
      <c r="Q133" s="53" t="str">
        <f aca="false">IF(SUMPRODUCT((tl_target=$C133)*(tl_sub=Q$4)*(tl_align="Primary"))&gt;0,"P",IF(SUMPRODUCT((tl_target=$C133)*(tl_sub=Q$4))&gt;0,"S",""))</f>
        <v/>
      </c>
      <c r="R133" s="69" t="str">
        <f aca="false">_xlfn.TEXTJOIN(", ",TRUE(),IF(SUMPRODUCT((tl_target=$C133)*(tl_principle="PP1"))&gt;0,"PP1",""),IF(SUMPRODUCT((tl_target=$C133)*(tl_principle="PP2"))&gt;0,"PP2",""),IF(SUMPRODUCT((tl_target=$C133)*(tl_principle="PP3"))&gt;0,"PP3",""),IF(SUMPRODUCT((tl_target=$C133)*(tl_principle="PP4"))&gt;0,"PP4",""))</f>
        <v/>
      </c>
      <c r="S133" s="9" t="n">
        <f aca="false">SUMPRODUCT(--(tl_target=$C133))</f>
        <v>0</v>
      </c>
      <c r="T133" s="53" t="str">
        <f aca="false">IF(SUMPRODUCT((tl_target=$C133)*(tl_align="Primary"))&gt;0,"Primary link",IF(S133&gt;0,"Secondary only","Gap"))</f>
        <v>Gap</v>
      </c>
      <c r="U133" s="66"/>
      <c r="V133" s="66"/>
      <c r="W133" s="66"/>
      <c r="X133" s="66"/>
      <c r="Y133" s="66"/>
    </row>
    <row r="134" customFormat="false" ht="35.05" hidden="false" customHeight="false" outlineLevel="0" collapsed="false">
      <c r="A134" s="59" t="n">
        <v>15</v>
      </c>
      <c r="B134" s="5" t="s">
        <v>566</v>
      </c>
      <c r="C134" s="13" t="s">
        <v>812</v>
      </c>
      <c r="D134" s="5" t="s">
        <v>499</v>
      </c>
      <c r="E134" s="5"/>
      <c r="F134" s="5" t="s">
        <v>813</v>
      </c>
      <c r="G134" s="9" t="n">
        <v>2</v>
      </c>
      <c r="H134" s="53" t="str">
        <f aca="false">IF(SUMPRODUCT((tl_target=$C134)*(tl_sub=H$4)*(tl_align="Primary"))&gt;0,"P",IF(SUMPRODUCT((tl_target=$C134)*(tl_sub=H$4))&gt;0,"S",""))</f>
        <v/>
      </c>
      <c r="I134" s="53" t="str">
        <f aca="false">IF(SUMPRODUCT((tl_target=$C134)*(tl_sub=I$4)*(tl_align="Primary"))&gt;0,"P",IF(SUMPRODUCT((tl_target=$C134)*(tl_sub=I$4))&gt;0,"S",""))</f>
        <v/>
      </c>
      <c r="J134" s="53" t="str">
        <f aca="false">IF(SUMPRODUCT((tl_target=$C134)*(tl_sub=J$4)*(tl_align="Primary"))&gt;0,"P",IF(SUMPRODUCT((tl_target=$C134)*(tl_sub=J$4))&gt;0,"S",""))</f>
        <v/>
      </c>
      <c r="K134" s="53" t="str">
        <f aca="false">IF(SUMPRODUCT((tl_target=$C134)*(tl_sub=K$4)*(tl_align="Primary"))&gt;0,"P",IF(SUMPRODUCT((tl_target=$C134)*(tl_sub=K$4))&gt;0,"S",""))</f>
        <v/>
      </c>
      <c r="L134" s="53" t="str">
        <f aca="false">IF(SUMPRODUCT((tl_target=$C134)*(tl_sub=L$4)*(tl_align="Primary"))&gt;0,"P",IF(SUMPRODUCT((tl_target=$C134)*(tl_sub=L$4))&gt;0,"S",""))</f>
        <v/>
      </c>
      <c r="M134" s="53" t="str">
        <f aca="false">IF(SUMPRODUCT((tl_target=$C134)*(tl_sub=M$4)*(tl_align="Primary"))&gt;0,"P",IF(SUMPRODUCT((tl_target=$C134)*(tl_sub=M$4))&gt;0,"S",""))</f>
        <v/>
      </c>
      <c r="N134" s="53" t="str">
        <f aca="false">IF(SUMPRODUCT((tl_target=$C134)*(tl_sub=N$4)*(tl_align="Primary"))&gt;0,"P",IF(SUMPRODUCT((tl_target=$C134)*(tl_sub=N$4))&gt;0,"S",""))</f>
        <v/>
      </c>
      <c r="O134" s="53" t="str">
        <f aca="false">IF(SUMPRODUCT((tl_target=$C134)*(tl_sub=O$4)*(tl_align="Primary"))&gt;0,"P",IF(SUMPRODUCT((tl_target=$C134)*(tl_sub=O$4))&gt;0,"S",""))</f>
        <v/>
      </c>
      <c r="P134" s="53" t="str">
        <f aca="false">IF(SUMPRODUCT((tl_target=$C134)*(tl_sub=P$4)*(tl_align="Primary"))&gt;0,"P",IF(SUMPRODUCT((tl_target=$C134)*(tl_sub=P$4))&gt;0,"S",""))</f>
        <v/>
      </c>
      <c r="Q134" s="53" t="str">
        <f aca="false">IF(SUMPRODUCT((tl_target=$C134)*(tl_sub=Q$4)*(tl_align="Primary"))&gt;0,"P",IF(SUMPRODUCT((tl_target=$C134)*(tl_sub=Q$4))&gt;0,"S",""))</f>
        <v/>
      </c>
      <c r="R134" s="69" t="str">
        <f aca="false">_xlfn.TEXTJOIN(", ",TRUE(),IF(SUMPRODUCT((tl_target=$C134)*(tl_principle="PP1"))&gt;0,"PP1",""),IF(SUMPRODUCT((tl_target=$C134)*(tl_principle="PP2"))&gt;0,"PP2",""),IF(SUMPRODUCT((tl_target=$C134)*(tl_principle="PP3"))&gt;0,"PP3",""),IF(SUMPRODUCT((tl_target=$C134)*(tl_principle="PP4"))&gt;0,"PP4",""))</f>
        <v/>
      </c>
      <c r="S134" s="9" t="n">
        <f aca="false">SUMPRODUCT(--(tl_target=$C134))</f>
        <v>0</v>
      </c>
      <c r="T134" s="53" t="str">
        <f aca="false">IF(SUMPRODUCT((tl_target=$C134)*(tl_align="Primary"))&gt;0,"Primary link",IF(S134&gt;0,"Secondary only","Gap"))</f>
        <v>Gap</v>
      </c>
      <c r="U134" s="66"/>
      <c r="V134" s="66"/>
      <c r="W134" s="66"/>
      <c r="X134" s="66"/>
      <c r="Y134" s="66"/>
    </row>
    <row r="135" customFormat="false" ht="35.05" hidden="false" customHeight="false" outlineLevel="0" collapsed="false">
      <c r="A135" s="59" t="n">
        <v>15</v>
      </c>
      <c r="B135" s="5" t="s">
        <v>566</v>
      </c>
      <c r="C135" s="13" t="s">
        <v>814</v>
      </c>
      <c r="D135" s="5" t="s">
        <v>499</v>
      </c>
      <c r="E135" s="5"/>
      <c r="F135" s="5" t="s">
        <v>815</v>
      </c>
      <c r="G135" s="9" t="n">
        <v>1</v>
      </c>
      <c r="H135" s="53" t="str">
        <f aca="false">IF(SUMPRODUCT((tl_target=$C135)*(tl_sub=H$4)*(tl_align="Primary"))&gt;0,"P",IF(SUMPRODUCT((tl_target=$C135)*(tl_sub=H$4))&gt;0,"S",""))</f>
        <v/>
      </c>
      <c r="I135" s="53" t="str">
        <f aca="false">IF(SUMPRODUCT((tl_target=$C135)*(tl_sub=I$4)*(tl_align="Primary"))&gt;0,"P",IF(SUMPRODUCT((tl_target=$C135)*(tl_sub=I$4))&gt;0,"S",""))</f>
        <v/>
      </c>
      <c r="J135" s="53" t="str">
        <f aca="false">IF(SUMPRODUCT((tl_target=$C135)*(tl_sub=J$4)*(tl_align="Primary"))&gt;0,"P",IF(SUMPRODUCT((tl_target=$C135)*(tl_sub=J$4))&gt;0,"S",""))</f>
        <v/>
      </c>
      <c r="K135" s="53" t="str">
        <f aca="false">IF(SUMPRODUCT((tl_target=$C135)*(tl_sub=K$4)*(tl_align="Primary"))&gt;0,"P",IF(SUMPRODUCT((tl_target=$C135)*(tl_sub=K$4))&gt;0,"S",""))</f>
        <v/>
      </c>
      <c r="L135" s="53" t="str">
        <f aca="false">IF(SUMPRODUCT((tl_target=$C135)*(tl_sub=L$4)*(tl_align="Primary"))&gt;0,"P",IF(SUMPRODUCT((tl_target=$C135)*(tl_sub=L$4))&gt;0,"S",""))</f>
        <v/>
      </c>
      <c r="M135" s="53" t="str">
        <f aca="false">IF(SUMPRODUCT((tl_target=$C135)*(tl_sub=M$4)*(tl_align="Primary"))&gt;0,"P",IF(SUMPRODUCT((tl_target=$C135)*(tl_sub=M$4))&gt;0,"S",""))</f>
        <v/>
      </c>
      <c r="N135" s="53" t="str">
        <f aca="false">IF(SUMPRODUCT((tl_target=$C135)*(tl_sub=N$4)*(tl_align="Primary"))&gt;0,"P",IF(SUMPRODUCT((tl_target=$C135)*(tl_sub=N$4))&gt;0,"S",""))</f>
        <v/>
      </c>
      <c r="O135" s="53" t="str">
        <f aca="false">IF(SUMPRODUCT((tl_target=$C135)*(tl_sub=O$4)*(tl_align="Primary"))&gt;0,"P",IF(SUMPRODUCT((tl_target=$C135)*(tl_sub=O$4))&gt;0,"S",""))</f>
        <v/>
      </c>
      <c r="P135" s="53" t="str">
        <f aca="false">IF(SUMPRODUCT((tl_target=$C135)*(tl_sub=P$4)*(tl_align="Primary"))&gt;0,"P",IF(SUMPRODUCT((tl_target=$C135)*(tl_sub=P$4))&gt;0,"S",""))</f>
        <v/>
      </c>
      <c r="Q135" s="53" t="str">
        <f aca="false">IF(SUMPRODUCT((tl_target=$C135)*(tl_sub=Q$4)*(tl_align="Primary"))&gt;0,"P",IF(SUMPRODUCT((tl_target=$C135)*(tl_sub=Q$4))&gt;0,"S",""))</f>
        <v/>
      </c>
      <c r="R135" s="69" t="str">
        <f aca="false">_xlfn.TEXTJOIN(", ",TRUE(),IF(SUMPRODUCT((tl_target=$C135)*(tl_principle="PP1"))&gt;0,"PP1",""),IF(SUMPRODUCT((tl_target=$C135)*(tl_principle="PP2"))&gt;0,"PP2",""),IF(SUMPRODUCT((tl_target=$C135)*(tl_principle="PP3"))&gt;0,"PP3",""),IF(SUMPRODUCT((tl_target=$C135)*(tl_principle="PP4"))&gt;0,"PP4",""))</f>
        <v/>
      </c>
      <c r="S135" s="9" t="n">
        <f aca="false">SUMPRODUCT(--(tl_target=$C135))</f>
        <v>0</v>
      </c>
      <c r="T135" s="53" t="str">
        <f aca="false">IF(SUMPRODUCT((tl_target=$C135)*(tl_align="Primary"))&gt;0,"Primary link",IF(S135&gt;0,"Secondary only","Gap"))</f>
        <v>Gap</v>
      </c>
      <c r="U135" s="66"/>
      <c r="V135" s="66"/>
      <c r="W135" s="66"/>
      <c r="X135" s="66"/>
      <c r="Y135" s="66"/>
    </row>
    <row r="136" customFormat="false" ht="35.05" hidden="false" customHeight="false" outlineLevel="0" collapsed="false">
      <c r="A136" s="59" t="n">
        <v>15</v>
      </c>
      <c r="B136" s="5" t="s">
        <v>566</v>
      </c>
      <c r="C136" s="13" t="s">
        <v>816</v>
      </c>
      <c r="D136" s="5" t="s">
        <v>499</v>
      </c>
      <c r="E136" s="5"/>
      <c r="F136" s="5" t="s">
        <v>817</v>
      </c>
      <c r="G136" s="9" t="n">
        <v>1</v>
      </c>
      <c r="H136" s="53" t="str">
        <f aca="false">IF(SUMPRODUCT((tl_target=$C136)*(tl_sub=H$4)*(tl_align="Primary"))&gt;0,"P",IF(SUMPRODUCT((tl_target=$C136)*(tl_sub=H$4))&gt;0,"S",""))</f>
        <v/>
      </c>
      <c r="I136" s="53" t="str">
        <f aca="false">IF(SUMPRODUCT((tl_target=$C136)*(tl_sub=I$4)*(tl_align="Primary"))&gt;0,"P",IF(SUMPRODUCT((tl_target=$C136)*(tl_sub=I$4))&gt;0,"S",""))</f>
        <v/>
      </c>
      <c r="J136" s="53" t="str">
        <f aca="false">IF(SUMPRODUCT((tl_target=$C136)*(tl_sub=J$4)*(tl_align="Primary"))&gt;0,"P",IF(SUMPRODUCT((tl_target=$C136)*(tl_sub=J$4))&gt;0,"S",""))</f>
        <v/>
      </c>
      <c r="K136" s="53" t="str">
        <f aca="false">IF(SUMPRODUCT((tl_target=$C136)*(tl_sub=K$4)*(tl_align="Primary"))&gt;0,"P",IF(SUMPRODUCT((tl_target=$C136)*(tl_sub=K$4))&gt;0,"S",""))</f>
        <v/>
      </c>
      <c r="L136" s="53" t="str">
        <f aca="false">IF(SUMPRODUCT((tl_target=$C136)*(tl_sub=L$4)*(tl_align="Primary"))&gt;0,"P",IF(SUMPRODUCT((tl_target=$C136)*(tl_sub=L$4))&gt;0,"S",""))</f>
        <v/>
      </c>
      <c r="M136" s="53" t="str">
        <f aca="false">IF(SUMPRODUCT((tl_target=$C136)*(tl_sub=M$4)*(tl_align="Primary"))&gt;0,"P",IF(SUMPRODUCT((tl_target=$C136)*(tl_sub=M$4))&gt;0,"S",""))</f>
        <v/>
      </c>
      <c r="N136" s="53" t="str">
        <f aca="false">IF(SUMPRODUCT((tl_target=$C136)*(tl_sub=N$4)*(tl_align="Primary"))&gt;0,"P",IF(SUMPRODUCT((tl_target=$C136)*(tl_sub=N$4))&gt;0,"S",""))</f>
        <v/>
      </c>
      <c r="O136" s="53" t="str">
        <f aca="false">IF(SUMPRODUCT((tl_target=$C136)*(tl_sub=O$4)*(tl_align="Primary"))&gt;0,"P",IF(SUMPRODUCT((tl_target=$C136)*(tl_sub=O$4))&gt;0,"S",""))</f>
        <v/>
      </c>
      <c r="P136" s="53" t="str">
        <f aca="false">IF(SUMPRODUCT((tl_target=$C136)*(tl_sub=P$4)*(tl_align="Primary"))&gt;0,"P",IF(SUMPRODUCT((tl_target=$C136)*(tl_sub=P$4))&gt;0,"S",""))</f>
        <v/>
      </c>
      <c r="Q136" s="53" t="str">
        <f aca="false">IF(SUMPRODUCT((tl_target=$C136)*(tl_sub=Q$4)*(tl_align="Primary"))&gt;0,"P",IF(SUMPRODUCT((tl_target=$C136)*(tl_sub=Q$4))&gt;0,"S",""))</f>
        <v/>
      </c>
      <c r="R136" s="69" t="str">
        <f aca="false">_xlfn.TEXTJOIN(", ",TRUE(),IF(SUMPRODUCT((tl_target=$C136)*(tl_principle="PP1"))&gt;0,"PP1",""),IF(SUMPRODUCT((tl_target=$C136)*(tl_principle="PP2"))&gt;0,"PP2",""),IF(SUMPRODUCT((tl_target=$C136)*(tl_principle="PP3"))&gt;0,"PP3",""),IF(SUMPRODUCT((tl_target=$C136)*(tl_principle="PP4"))&gt;0,"PP4",""))</f>
        <v/>
      </c>
      <c r="S136" s="9" t="n">
        <f aca="false">SUMPRODUCT(--(tl_target=$C136))</f>
        <v>0</v>
      </c>
      <c r="T136" s="53" t="str">
        <f aca="false">IF(SUMPRODUCT((tl_target=$C136)*(tl_align="Primary"))&gt;0,"Primary link",IF(S136&gt;0,"Secondary only","Gap"))</f>
        <v>Gap</v>
      </c>
      <c r="U136" s="66"/>
      <c r="V136" s="66"/>
      <c r="W136" s="66"/>
      <c r="X136" s="66"/>
      <c r="Y136" s="66"/>
    </row>
    <row r="137" customFormat="false" ht="23.85" hidden="false" customHeight="false" outlineLevel="0" collapsed="false">
      <c r="A137" s="59" t="n">
        <v>15</v>
      </c>
      <c r="B137" s="5" t="s">
        <v>566</v>
      </c>
      <c r="C137" s="13" t="s">
        <v>818</v>
      </c>
      <c r="D137" s="5" t="s">
        <v>499</v>
      </c>
      <c r="E137" s="5"/>
      <c r="F137" s="5" t="s">
        <v>819</v>
      </c>
      <c r="G137" s="9" t="n">
        <v>1</v>
      </c>
      <c r="H137" s="53" t="str">
        <f aca="false">IF(SUMPRODUCT((tl_target=$C137)*(tl_sub=H$4)*(tl_align="Primary"))&gt;0,"P",IF(SUMPRODUCT((tl_target=$C137)*(tl_sub=H$4))&gt;0,"S",""))</f>
        <v/>
      </c>
      <c r="I137" s="53" t="str">
        <f aca="false">IF(SUMPRODUCT((tl_target=$C137)*(tl_sub=I$4)*(tl_align="Primary"))&gt;0,"P",IF(SUMPRODUCT((tl_target=$C137)*(tl_sub=I$4))&gt;0,"S",""))</f>
        <v/>
      </c>
      <c r="J137" s="53" t="str">
        <f aca="false">IF(SUMPRODUCT((tl_target=$C137)*(tl_sub=J$4)*(tl_align="Primary"))&gt;0,"P",IF(SUMPRODUCT((tl_target=$C137)*(tl_sub=J$4))&gt;0,"S",""))</f>
        <v/>
      </c>
      <c r="K137" s="53" t="str">
        <f aca="false">IF(SUMPRODUCT((tl_target=$C137)*(tl_sub=K$4)*(tl_align="Primary"))&gt;0,"P",IF(SUMPRODUCT((tl_target=$C137)*(tl_sub=K$4))&gt;0,"S",""))</f>
        <v/>
      </c>
      <c r="L137" s="53" t="str">
        <f aca="false">IF(SUMPRODUCT((tl_target=$C137)*(tl_sub=L$4)*(tl_align="Primary"))&gt;0,"P",IF(SUMPRODUCT((tl_target=$C137)*(tl_sub=L$4))&gt;0,"S",""))</f>
        <v/>
      </c>
      <c r="M137" s="53" t="str">
        <f aca="false">IF(SUMPRODUCT((tl_target=$C137)*(tl_sub=M$4)*(tl_align="Primary"))&gt;0,"P",IF(SUMPRODUCT((tl_target=$C137)*(tl_sub=M$4))&gt;0,"S",""))</f>
        <v/>
      </c>
      <c r="N137" s="53" t="str">
        <f aca="false">IF(SUMPRODUCT((tl_target=$C137)*(tl_sub=N$4)*(tl_align="Primary"))&gt;0,"P",IF(SUMPRODUCT((tl_target=$C137)*(tl_sub=N$4))&gt;0,"S",""))</f>
        <v/>
      </c>
      <c r="O137" s="53" t="str">
        <f aca="false">IF(SUMPRODUCT((tl_target=$C137)*(tl_sub=O$4)*(tl_align="Primary"))&gt;0,"P",IF(SUMPRODUCT((tl_target=$C137)*(tl_sub=O$4))&gt;0,"S",""))</f>
        <v/>
      </c>
      <c r="P137" s="53" t="str">
        <f aca="false">IF(SUMPRODUCT((tl_target=$C137)*(tl_sub=P$4)*(tl_align="Primary"))&gt;0,"P",IF(SUMPRODUCT((tl_target=$C137)*(tl_sub=P$4))&gt;0,"S",""))</f>
        <v/>
      </c>
      <c r="Q137" s="53" t="str">
        <f aca="false">IF(SUMPRODUCT((tl_target=$C137)*(tl_sub=Q$4)*(tl_align="Primary"))&gt;0,"P",IF(SUMPRODUCT((tl_target=$C137)*(tl_sub=Q$4))&gt;0,"S",""))</f>
        <v/>
      </c>
      <c r="R137" s="69" t="str">
        <f aca="false">_xlfn.TEXTJOIN(", ",TRUE(),IF(SUMPRODUCT((tl_target=$C137)*(tl_principle="PP1"))&gt;0,"PP1",""),IF(SUMPRODUCT((tl_target=$C137)*(tl_principle="PP2"))&gt;0,"PP2",""),IF(SUMPRODUCT((tl_target=$C137)*(tl_principle="PP3"))&gt;0,"PP3",""),IF(SUMPRODUCT((tl_target=$C137)*(tl_principle="PP4"))&gt;0,"PP4",""))</f>
        <v/>
      </c>
      <c r="S137" s="9" t="n">
        <f aca="false">SUMPRODUCT(--(tl_target=$C137))</f>
        <v>0</v>
      </c>
      <c r="T137" s="53" t="str">
        <f aca="false">IF(SUMPRODUCT((tl_target=$C137)*(tl_align="Primary"))&gt;0,"Primary link",IF(S137&gt;0,"Secondary only","Gap"))</f>
        <v>Gap</v>
      </c>
      <c r="U137" s="66"/>
      <c r="V137" s="66"/>
      <c r="W137" s="66"/>
      <c r="X137" s="66"/>
      <c r="Y137" s="66"/>
    </row>
    <row r="138" customFormat="false" ht="35.05" hidden="false" customHeight="false" outlineLevel="0" collapsed="false">
      <c r="A138" s="59" t="n">
        <v>15</v>
      </c>
      <c r="B138" s="5" t="s">
        <v>566</v>
      </c>
      <c r="C138" s="13" t="s">
        <v>820</v>
      </c>
      <c r="D138" s="5" t="s">
        <v>499</v>
      </c>
      <c r="E138" s="5"/>
      <c r="F138" s="5" t="s">
        <v>821</v>
      </c>
      <c r="G138" s="9" t="n">
        <v>1</v>
      </c>
      <c r="H138" s="53" t="str">
        <f aca="false">IF(SUMPRODUCT((tl_target=$C138)*(tl_sub=H$4)*(tl_align="Primary"))&gt;0,"P",IF(SUMPRODUCT((tl_target=$C138)*(tl_sub=H$4))&gt;0,"S",""))</f>
        <v/>
      </c>
      <c r="I138" s="53" t="str">
        <f aca="false">IF(SUMPRODUCT((tl_target=$C138)*(tl_sub=I$4)*(tl_align="Primary"))&gt;0,"P",IF(SUMPRODUCT((tl_target=$C138)*(tl_sub=I$4))&gt;0,"S",""))</f>
        <v/>
      </c>
      <c r="J138" s="53" t="str">
        <f aca="false">IF(SUMPRODUCT((tl_target=$C138)*(tl_sub=J$4)*(tl_align="Primary"))&gt;0,"P",IF(SUMPRODUCT((tl_target=$C138)*(tl_sub=J$4))&gt;0,"S",""))</f>
        <v/>
      </c>
      <c r="K138" s="53" t="str">
        <f aca="false">IF(SUMPRODUCT((tl_target=$C138)*(tl_sub=K$4)*(tl_align="Primary"))&gt;0,"P",IF(SUMPRODUCT((tl_target=$C138)*(tl_sub=K$4))&gt;0,"S",""))</f>
        <v/>
      </c>
      <c r="L138" s="53" t="str">
        <f aca="false">IF(SUMPRODUCT((tl_target=$C138)*(tl_sub=L$4)*(tl_align="Primary"))&gt;0,"P",IF(SUMPRODUCT((tl_target=$C138)*(tl_sub=L$4))&gt;0,"S",""))</f>
        <v/>
      </c>
      <c r="M138" s="53" t="str">
        <f aca="false">IF(SUMPRODUCT((tl_target=$C138)*(tl_sub=M$4)*(tl_align="Primary"))&gt;0,"P",IF(SUMPRODUCT((tl_target=$C138)*(tl_sub=M$4))&gt;0,"S",""))</f>
        <v/>
      </c>
      <c r="N138" s="53" t="str">
        <f aca="false">IF(SUMPRODUCT((tl_target=$C138)*(tl_sub=N$4)*(tl_align="Primary"))&gt;0,"P",IF(SUMPRODUCT((tl_target=$C138)*(tl_sub=N$4))&gt;0,"S",""))</f>
        <v/>
      </c>
      <c r="O138" s="53" t="str">
        <f aca="false">IF(SUMPRODUCT((tl_target=$C138)*(tl_sub=O$4)*(tl_align="Primary"))&gt;0,"P",IF(SUMPRODUCT((tl_target=$C138)*(tl_sub=O$4))&gt;0,"S",""))</f>
        <v/>
      </c>
      <c r="P138" s="53" t="str">
        <f aca="false">IF(SUMPRODUCT((tl_target=$C138)*(tl_sub=P$4)*(tl_align="Primary"))&gt;0,"P",IF(SUMPRODUCT((tl_target=$C138)*(tl_sub=P$4))&gt;0,"S",""))</f>
        <v/>
      </c>
      <c r="Q138" s="53" t="str">
        <f aca="false">IF(SUMPRODUCT((tl_target=$C138)*(tl_sub=Q$4)*(tl_align="Primary"))&gt;0,"P",IF(SUMPRODUCT((tl_target=$C138)*(tl_sub=Q$4))&gt;0,"S",""))</f>
        <v/>
      </c>
      <c r="R138" s="69" t="str">
        <f aca="false">_xlfn.TEXTJOIN(", ",TRUE(),IF(SUMPRODUCT((tl_target=$C138)*(tl_principle="PP1"))&gt;0,"PP1",""),IF(SUMPRODUCT((tl_target=$C138)*(tl_principle="PP2"))&gt;0,"PP2",""),IF(SUMPRODUCT((tl_target=$C138)*(tl_principle="PP3"))&gt;0,"PP3",""),IF(SUMPRODUCT((tl_target=$C138)*(tl_principle="PP4"))&gt;0,"PP4",""))</f>
        <v/>
      </c>
      <c r="S138" s="9" t="n">
        <f aca="false">SUMPRODUCT(--(tl_target=$C138))</f>
        <v>0</v>
      </c>
      <c r="T138" s="53" t="str">
        <f aca="false">IF(SUMPRODUCT((tl_target=$C138)*(tl_align="Primary"))&gt;0,"Primary link",IF(S138&gt;0,"Secondary only","Gap"))</f>
        <v>Gap</v>
      </c>
      <c r="U138" s="66"/>
      <c r="V138" s="66"/>
      <c r="W138" s="66"/>
      <c r="X138" s="66"/>
      <c r="Y138" s="66"/>
    </row>
    <row r="139" customFormat="false" ht="23.85" hidden="false" customHeight="false" outlineLevel="0" collapsed="false">
      <c r="A139" s="59" t="n">
        <v>15</v>
      </c>
      <c r="B139" s="5" t="s">
        <v>566</v>
      </c>
      <c r="C139" s="13" t="s">
        <v>822</v>
      </c>
      <c r="D139" s="5" t="s">
        <v>499</v>
      </c>
      <c r="E139" s="5"/>
      <c r="F139" s="5" t="s">
        <v>823</v>
      </c>
      <c r="G139" s="9" t="n">
        <v>1</v>
      </c>
      <c r="H139" s="53" t="str">
        <f aca="false">IF(SUMPRODUCT((tl_target=$C139)*(tl_sub=H$4)*(tl_align="Primary"))&gt;0,"P",IF(SUMPRODUCT((tl_target=$C139)*(tl_sub=H$4))&gt;0,"S",""))</f>
        <v/>
      </c>
      <c r="I139" s="53" t="str">
        <f aca="false">IF(SUMPRODUCT((tl_target=$C139)*(tl_sub=I$4)*(tl_align="Primary"))&gt;0,"P",IF(SUMPRODUCT((tl_target=$C139)*(tl_sub=I$4))&gt;0,"S",""))</f>
        <v/>
      </c>
      <c r="J139" s="53" t="str">
        <f aca="false">IF(SUMPRODUCT((tl_target=$C139)*(tl_sub=J$4)*(tl_align="Primary"))&gt;0,"P",IF(SUMPRODUCT((tl_target=$C139)*(tl_sub=J$4))&gt;0,"S",""))</f>
        <v/>
      </c>
      <c r="K139" s="53" t="str">
        <f aca="false">IF(SUMPRODUCT((tl_target=$C139)*(tl_sub=K$4)*(tl_align="Primary"))&gt;0,"P",IF(SUMPRODUCT((tl_target=$C139)*(tl_sub=K$4))&gt;0,"S",""))</f>
        <v/>
      </c>
      <c r="L139" s="53" t="str">
        <f aca="false">IF(SUMPRODUCT((tl_target=$C139)*(tl_sub=L$4)*(tl_align="Primary"))&gt;0,"P",IF(SUMPRODUCT((tl_target=$C139)*(tl_sub=L$4))&gt;0,"S",""))</f>
        <v/>
      </c>
      <c r="M139" s="53" t="str">
        <f aca="false">IF(SUMPRODUCT((tl_target=$C139)*(tl_sub=M$4)*(tl_align="Primary"))&gt;0,"P",IF(SUMPRODUCT((tl_target=$C139)*(tl_sub=M$4))&gt;0,"S",""))</f>
        <v/>
      </c>
      <c r="N139" s="53" t="str">
        <f aca="false">IF(SUMPRODUCT((tl_target=$C139)*(tl_sub=N$4)*(tl_align="Primary"))&gt;0,"P",IF(SUMPRODUCT((tl_target=$C139)*(tl_sub=N$4))&gt;0,"S",""))</f>
        <v/>
      </c>
      <c r="O139" s="53" t="str">
        <f aca="false">IF(SUMPRODUCT((tl_target=$C139)*(tl_sub=O$4)*(tl_align="Primary"))&gt;0,"P",IF(SUMPRODUCT((tl_target=$C139)*(tl_sub=O$4))&gt;0,"S",""))</f>
        <v/>
      </c>
      <c r="P139" s="53" t="str">
        <f aca="false">IF(SUMPRODUCT((tl_target=$C139)*(tl_sub=P$4)*(tl_align="Primary"))&gt;0,"P",IF(SUMPRODUCT((tl_target=$C139)*(tl_sub=P$4))&gt;0,"S",""))</f>
        <v/>
      </c>
      <c r="Q139" s="53" t="str">
        <f aca="false">IF(SUMPRODUCT((tl_target=$C139)*(tl_sub=Q$4)*(tl_align="Primary"))&gt;0,"P",IF(SUMPRODUCT((tl_target=$C139)*(tl_sub=Q$4))&gt;0,"S",""))</f>
        <v/>
      </c>
      <c r="R139" s="69" t="str">
        <f aca="false">_xlfn.TEXTJOIN(", ",TRUE(),IF(SUMPRODUCT((tl_target=$C139)*(tl_principle="PP1"))&gt;0,"PP1",""),IF(SUMPRODUCT((tl_target=$C139)*(tl_principle="PP2"))&gt;0,"PP2",""),IF(SUMPRODUCT((tl_target=$C139)*(tl_principle="PP3"))&gt;0,"PP3",""),IF(SUMPRODUCT((tl_target=$C139)*(tl_principle="PP4"))&gt;0,"PP4",""))</f>
        <v/>
      </c>
      <c r="S139" s="9" t="n">
        <f aca="false">SUMPRODUCT(--(tl_target=$C139))</f>
        <v>0</v>
      </c>
      <c r="T139" s="53" t="str">
        <f aca="false">IF(SUMPRODUCT((tl_target=$C139)*(tl_align="Primary"))&gt;0,"Primary link",IF(S139&gt;0,"Secondary only","Gap"))</f>
        <v>Gap</v>
      </c>
      <c r="U139" s="66"/>
      <c r="V139" s="66"/>
      <c r="W139" s="66"/>
      <c r="X139" s="66"/>
      <c r="Y139" s="66"/>
    </row>
    <row r="140" customFormat="false" ht="23.85" hidden="false" customHeight="false" outlineLevel="0" collapsed="false">
      <c r="A140" s="59" t="n">
        <v>15</v>
      </c>
      <c r="B140" s="5" t="s">
        <v>566</v>
      </c>
      <c r="C140" s="13" t="s">
        <v>824</v>
      </c>
      <c r="D140" s="5" t="s">
        <v>612</v>
      </c>
      <c r="E140" s="5"/>
      <c r="F140" s="5" t="s">
        <v>825</v>
      </c>
      <c r="G140" s="9" t="n">
        <v>1</v>
      </c>
      <c r="H140" s="53" t="str">
        <f aca="false">IF(SUMPRODUCT((tl_target=$C140)*(tl_sub=H$4)*(tl_align="Primary"))&gt;0,"P",IF(SUMPRODUCT((tl_target=$C140)*(tl_sub=H$4))&gt;0,"S",""))</f>
        <v/>
      </c>
      <c r="I140" s="53" t="str">
        <f aca="false">IF(SUMPRODUCT((tl_target=$C140)*(tl_sub=I$4)*(tl_align="Primary"))&gt;0,"P",IF(SUMPRODUCT((tl_target=$C140)*(tl_sub=I$4))&gt;0,"S",""))</f>
        <v/>
      </c>
      <c r="J140" s="53" t="str">
        <f aca="false">IF(SUMPRODUCT((tl_target=$C140)*(tl_sub=J$4)*(tl_align="Primary"))&gt;0,"P",IF(SUMPRODUCT((tl_target=$C140)*(tl_sub=J$4))&gt;0,"S",""))</f>
        <v/>
      </c>
      <c r="K140" s="53" t="str">
        <f aca="false">IF(SUMPRODUCT((tl_target=$C140)*(tl_sub=K$4)*(tl_align="Primary"))&gt;0,"P",IF(SUMPRODUCT((tl_target=$C140)*(tl_sub=K$4))&gt;0,"S",""))</f>
        <v/>
      </c>
      <c r="L140" s="53" t="str">
        <f aca="false">IF(SUMPRODUCT((tl_target=$C140)*(tl_sub=L$4)*(tl_align="Primary"))&gt;0,"P",IF(SUMPRODUCT((tl_target=$C140)*(tl_sub=L$4))&gt;0,"S",""))</f>
        <v/>
      </c>
      <c r="M140" s="53" t="str">
        <f aca="false">IF(SUMPRODUCT((tl_target=$C140)*(tl_sub=M$4)*(tl_align="Primary"))&gt;0,"P",IF(SUMPRODUCT((tl_target=$C140)*(tl_sub=M$4))&gt;0,"S",""))</f>
        <v/>
      </c>
      <c r="N140" s="53" t="str">
        <f aca="false">IF(SUMPRODUCT((tl_target=$C140)*(tl_sub=N$4)*(tl_align="Primary"))&gt;0,"P",IF(SUMPRODUCT((tl_target=$C140)*(tl_sub=N$4))&gt;0,"S",""))</f>
        <v/>
      </c>
      <c r="O140" s="53" t="str">
        <f aca="false">IF(SUMPRODUCT((tl_target=$C140)*(tl_sub=O$4)*(tl_align="Primary"))&gt;0,"P",IF(SUMPRODUCT((tl_target=$C140)*(tl_sub=O$4))&gt;0,"S",""))</f>
        <v/>
      </c>
      <c r="P140" s="53" t="str">
        <f aca="false">IF(SUMPRODUCT((tl_target=$C140)*(tl_sub=P$4)*(tl_align="Primary"))&gt;0,"P",IF(SUMPRODUCT((tl_target=$C140)*(tl_sub=P$4))&gt;0,"S",""))</f>
        <v/>
      </c>
      <c r="Q140" s="53" t="str">
        <f aca="false">IF(SUMPRODUCT((tl_target=$C140)*(tl_sub=Q$4)*(tl_align="Primary"))&gt;0,"P",IF(SUMPRODUCT((tl_target=$C140)*(tl_sub=Q$4))&gt;0,"S",""))</f>
        <v/>
      </c>
      <c r="R140" s="69" t="str">
        <f aca="false">_xlfn.TEXTJOIN(", ",TRUE(),IF(SUMPRODUCT((tl_target=$C140)*(tl_principle="PP1"))&gt;0,"PP1",""),IF(SUMPRODUCT((tl_target=$C140)*(tl_principle="PP2"))&gt;0,"PP2",""),IF(SUMPRODUCT((tl_target=$C140)*(tl_principle="PP3"))&gt;0,"PP3",""),IF(SUMPRODUCT((tl_target=$C140)*(tl_principle="PP4"))&gt;0,"PP4",""))</f>
        <v/>
      </c>
      <c r="S140" s="9" t="n">
        <f aca="false">SUMPRODUCT(--(tl_target=$C140))</f>
        <v>0</v>
      </c>
      <c r="T140" s="53" t="str">
        <f aca="false">IF(SUMPRODUCT((tl_target=$C140)*(tl_align="Primary"))&gt;0,"Primary link",IF(S140&gt;0,"Secondary only","Gap"))</f>
        <v>Gap</v>
      </c>
      <c r="U140" s="66"/>
      <c r="V140" s="66"/>
      <c r="W140" s="66"/>
      <c r="X140" s="66"/>
      <c r="Y140" s="66"/>
    </row>
    <row r="141" customFormat="false" ht="46.25" hidden="false" customHeight="false" outlineLevel="0" collapsed="false">
      <c r="A141" s="59" t="n">
        <v>15</v>
      </c>
      <c r="B141" s="5" t="s">
        <v>566</v>
      </c>
      <c r="C141" s="13" t="s">
        <v>826</v>
      </c>
      <c r="D141" s="5" t="s">
        <v>612</v>
      </c>
      <c r="E141" s="5"/>
      <c r="F141" s="5" t="s">
        <v>827</v>
      </c>
      <c r="G141" s="9" t="n">
        <v>1</v>
      </c>
      <c r="H141" s="53" t="str">
        <f aca="false">IF(SUMPRODUCT((tl_target=$C141)*(tl_sub=H$4)*(tl_align="Primary"))&gt;0,"P",IF(SUMPRODUCT((tl_target=$C141)*(tl_sub=H$4))&gt;0,"S",""))</f>
        <v/>
      </c>
      <c r="I141" s="53" t="str">
        <f aca="false">IF(SUMPRODUCT((tl_target=$C141)*(tl_sub=I$4)*(tl_align="Primary"))&gt;0,"P",IF(SUMPRODUCT((tl_target=$C141)*(tl_sub=I$4))&gt;0,"S",""))</f>
        <v/>
      </c>
      <c r="J141" s="53" t="str">
        <f aca="false">IF(SUMPRODUCT((tl_target=$C141)*(tl_sub=J$4)*(tl_align="Primary"))&gt;0,"P",IF(SUMPRODUCT((tl_target=$C141)*(tl_sub=J$4))&gt;0,"S",""))</f>
        <v/>
      </c>
      <c r="K141" s="53" t="str">
        <f aca="false">IF(SUMPRODUCT((tl_target=$C141)*(tl_sub=K$4)*(tl_align="Primary"))&gt;0,"P",IF(SUMPRODUCT((tl_target=$C141)*(tl_sub=K$4))&gt;0,"S",""))</f>
        <v/>
      </c>
      <c r="L141" s="53" t="str">
        <f aca="false">IF(SUMPRODUCT((tl_target=$C141)*(tl_sub=L$4)*(tl_align="Primary"))&gt;0,"P",IF(SUMPRODUCT((tl_target=$C141)*(tl_sub=L$4))&gt;0,"S",""))</f>
        <v/>
      </c>
      <c r="M141" s="53" t="str">
        <f aca="false">IF(SUMPRODUCT((tl_target=$C141)*(tl_sub=M$4)*(tl_align="Primary"))&gt;0,"P",IF(SUMPRODUCT((tl_target=$C141)*(tl_sub=M$4))&gt;0,"S",""))</f>
        <v/>
      </c>
      <c r="N141" s="53" t="str">
        <f aca="false">IF(SUMPRODUCT((tl_target=$C141)*(tl_sub=N$4)*(tl_align="Primary"))&gt;0,"P",IF(SUMPRODUCT((tl_target=$C141)*(tl_sub=N$4))&gt;0,"S",""))</f>
        <v/>
      </c>
      <c r="O141" s="53" t="str">
        <f aca="false">IF(SUMPRODUCT((tl_target=$C141)*(tl_sub=O$4)*(tl_align="Primary"))&gt;0,"P",IF(SUMPRODUCT((tl_target=$C141)*(tl_sub=O$4))&gt;0,"S",""))</f>
        <v/>
      </c>
      <c r="P141" s="53" t="str">
        <f aca="false">IF(SUMPRODUCT((tl_target=$C141)*(tl_sub=P$4)*(tl_align="Primary"))&gt;0,"P",IF(SUMPRODUCT((tl_target=$C141)*(tl_sub=P$4))&gt;0,"S",""))</f>
        <v/>
      </c>
      <c r="Q141" s="53" t="str">
        <f aca="false">IF(SUMPRODUCT((tl_target=$C141)*(tl_sub=Q$4)*(tl_align="Primary"))&gt;0,"P",IF(SUMPRODUCT((tl_target=$C141)*(tl_sub=Q$4))&gt;0,"S",""))</f>
        <v/>
      </c>
      <c r="R141" s="69" t="str">
        <f aca="false">_xlfn.TEXTJOIN(", ",TRUE(),IF(SUMPRODUCT((tl_target=$C141)*(tl_principle="PP1"))&gt;0,"PP1",""),IF(SUMPRODUCT((tl_target=$C141)*(tl_principle="PP2"))&gt;0,"PP2",""),IF(SUMPRODUCT((tl_target=$C141)*(tl_principle="PP3"))&gt;0,"PP3",""),IF(SUMPRODUCT((tl_target=$C141)*(tl_principle="PP4"))&gt;0,"PP4",""))</f>
        <v/>
      </c>
      <c r="S141" s="9" t="n">
        <f aca="false">SUMPRODUCT(--(tl_target=$C141))</f>
        <v>0</v>
      </c>
      <c r="T141" s="53" t="str">
        <f aca="false">IF(SUMPRODUCT((tl_target=$C141)*(tl_align="Primary"))&gt;0,"Primary link",IF(S141&gt;0,"Secondary only","Gap"))</f>
        <v>Gap</v>
      </c>
      <c r="U141" s="66"/>
      <c r="V141" s="66"/>
      <c r="W141" s="66"/>
      <c r="X141" s="66"/>
      <c r="Y141" s="66"/>
    </row>
    <row r="142" customFormat="false" ht="35.05" hidden="false" customHeight="false" outlineLevel="0" collapsed="false">
      <c r="A142" s="59" t="n">
        <v>15</v>
      </c>
      <c r="B142" s="5" t="s">
        <v>566</v>
      </c>
      <c r="C142" s="13" t="s">
        <v>828</v>
      </c>
      <c r="D142" s="5" t="s">
        <v>612</v>
      </c>
      <c r="E142" s="5"/>
      <c r="F142" s="5" t="s">
        <v>829</v>
      </c>
      <c r="G142" s="9" t="n">
        <v>1</v>
      </c>
      <c r="H142" s="53" t="str">
        <f aca="false">IF(SUMPRODUCT((tl_target=$C142)*(tl_sub=H$4)*(tl_align="Primary"))&gt;0,"P",IF(SUMPRODUCT((tl_target=$C142)*(tl_sub=H$4))&gt;0,"S",""))</f>
        <v/>
      </c>
      <c r="I142" s="53" t="str">
        <f aca="false">IF(SUMPRODUCT((tl_target=$C142)*(tl_sub=I$4)*(tl_align="Primary"))&gt;0,"P",IF(SUMPRODUCT((tl_target=$C142)*(tl_sub=I$4))&gt;0,"S",""))</f>
        <v/>
      </c>
      <c r="J142" s="53" t="str">
        <f aca="false">IF(SUMPRODUCT((tl_target=$C142)*(tl_sub=J$4)*(tl_align="Primary"))&gt;0,"P",IF(SUMPRODUCT((tl_target=$C142)*(tl_sub=J$4))&gt;0,"S",""))</f>
        <v/>
      </c>
      <c r="K142" s="53" t="str">
        <f aca="false">IF(SUMPRODUCT((tl_target=$C142)*(tl_sub=K$4)*(tl_align="Primary"))&gt;0,"P",IF(SUMPRODUCT((tl_target=$C142)*(tl_sub=K$4))&gt;0,"S",""))</f>
        <v/>
      </c>
      <c r="L142" s="53" t="str">
        <f aca="false">IF(SUMPRODUCT((tl_target=$C142)*(tl_sub=L$4)*(tl_align="Primary"))&gt;0,"P",IF(SUMPRODUCT((tl_target=$C142)*(tl_sub=L$4))&gt;0,"S",""))</f>
        <v/>
      </c>
      <c r="M142" s="53" t="str">
        <f aca="false">IF(SUMPRODUCT((tl_target=$C142)*(tl_sub=M$4)*(tl_align="Primary"))&gt;0,"P",IF(SUMPRODUCT((tl_target=$C142)*(tl_sub=M$4))&gt;0,"S",""))</f>
        <v/>
      </c>
      <c r="N142" s="53" t="str">
        <f aca="false">IF(SUMPRODUCT((tl_target=$C142)*(tl_sub=N$4)*(tl_align="Primary"))&gt;0,"P",IF(SUMPRODUCT((tl_target=$C142)*(tl_sub=N$4))&gt;0,"S",""))</f>
        <v/>
      </c>
      <c r="O142" s="53" t="str">
        <f aca="false">IF(SUMPRODUCT((tl_target=$C142)*(tl_sub=O$4)*(tl_align="Primary"))&gt;0,"P",IF(SUMPRODUCT((tl_target=$C142)*(tl_sub=O$4))&gt;0,"S",""))</f>
        <v/>
      </c>
      <c r="P142" s="53" t="str">
        <f aca="false">IF(SUMPRODUCT((tl_target=$C142)*(tl_sub=P$4)*(tl_align="Primary"))&gt;0,"P",IF(SUMPRODUCT((tl_target=$C142)*(tl_sub=P$4))&gt;0,"S",""))</f>
        <v/>
      </c>
      <c r="Q142" s="53" t="str">
        <f aca="false">IF(SUMPRODUCT((tl_target=$C142)*(tl_sub=Q$4)*(tl_align="Primary"))&gt;0,"P",IF(SUMPRODUCT((tl_target=$C142)*(tl_sub=Q$4))&gt;0,"S",""))</f>
        <v/>
      </c>
      <c r="R142" s="69" t="str">
        <f aca="false">_xlfn.TEXTJOIN(", ",TRUE(),IF(SUMPRODUCT((tl_target=$C142)*(tl_principle="PP1"))&gt;0,"PP1",""),IF(SUMPRODUCT((tl_target=$C142)*(tl_principle="PP2"))&gt;0,"PP2",""),IF(SUMPRODUCT((tl_target=$C142)*(tl_principle="PP3"))&gt;0,"PP3",""),IF(SUMPRODUCT((tl_target=$C142)*(tl_principle="PP4"))&gt;0,"PP4",""))</f>
        <v/>
      </c>
      <c r="S142" s="9" t="n">
        <f aca="false">SUMPRODUCT(--(tl_target=$C142))</f>
        <v>0</v>
      </c>
      <c r="T142" s="53" t="str">
        <f aca="false">IF(SUMPRODUCT((tl_target=$C142)*(tl_align="Primary"))&gt;0,"Primary link",IF(S142&gt;0,"Secondary only","Gap"))</f>
        <v>Gap</v>
      </c>
      <c r="U142" s="66"/>
      <c r="V142" s="66"/>
      <c r="W142" s="66"/>
      <c r="X142" s="66"/>
      <c r="Y142" s="66"/>
    </row>
    <row r="143" customFormat="false" ht="23.85" hidden="false" customHeight="false" outlineLevel="0" collapsed="false">
      <c r="A143" s="18" t="n">
        <v>16</v>
      </c>
      <c r="B143" s="5" t="s">
        <v>193</v>
      </c>
      <c r="C143" s="13" t="s">
        <v>830</v>
      </c>
      <c r="D143" s="5" t="s">
        <v>499</v>
      </c>
      <c r="E143" s="5"/>
      <c r="F143" s="5" t="s">
        <v>831</v>
      </c>
      <c r="G143" s="9" t="n">
        <v>4</v>
      </c>
      <c r="H143" s="53" t="str">
        <f aca="false">IF(SUMPRODUCT((tl_target=$C143)*(tl_sub=H$4)*(tl_align="Primary"))&gt;0,"P",IF(SUMPRODUCT((tl_target=$C143)*(tl_sub=H$4))&gt;0,"S",""))</f>
        <v/>
      </c>
      <c r="I143" s="53" t="str">
        <f aca="false">IF(SUMPRODUCT((tl_target=$C143)*(tl_sub=I$4)*(tl_align="Primary"))&gt;0,"P",IF(SUMPRODUCT((tl_target=$C143)*(tl_sub=I$4))&gt;0,"S",""))</f>
        <v/>
      </c>
      <c r="J143" s="53" t="str">
        <f aca="false">IF(SUMPRODUCT((tl_target=$C143)*(tl_sub=J$4)*(tl_align="Primary"))&gt;0,"P",IF(SUMPRODUCT((tl_target=$C143)*(tl_sub=J$4))&gt;0,"S",""))</f>
        <v/>
      </c>
      <c r="K143" s="53" t="str">
        <f aca="false">IF(SUMPRODUCT((tl_target=$C143)*(tl_sub=K$4)*(tl_align="Primary"))&gt;0,"P",IF(SUMPRODUCT((tl_target=$C143)*(tl_sub=K$4))&gt;0,"S",""))</f>
        <v/>
      </c>
      <c r="L143" s="53" t="str">
        <f aca="false">IF(SUMPRODUCT((tl_target=$C143)*(tl_sub=L$4)*(tl_align="Primary"))&gt;0,"P",IF(SUMPRODUCT((tl_target=$C143)*(tl_sub=L$4))&gt;0,"S",""))</f>
        <v/>
      </c>
      <c r="M143" s="53" t="str">
        <f aca="false">IF(SUMPRODUCT((tl_target=$C143)*(tl_sub=M$4)*(tl_align="Primary"))&gt;0,"P",IF(SUMPRODUCT((tl_target=$C143)*(tl_sub=M$4))&gt;0,"S",""))</f>
        <v/>
      </c>
      <c r="N143" s="53" t="str">
        <f aca="false">IF(SUMPRODUCT((tl_target=$C143)*(tl_sub=N$4)*(tl_align="Primary"))&gt;0,"P",IF(SUMPRODUCT((tl_target=$C143)*(tl_sub=N$4))&gt;0,"S",""))</f>
        <v/>
      </c>
      <c r="O143" s="53" t="str">
        <f aca="false">IF(SUMPRODUCT((tl_target=$C143)*(tl_sub=O$4)*(tl_align="Primary"))&gt;0,"P",IF(SUMPRODUCT((tl_target=$C143)*(tl_sub=O$4))&gt;0,"S",""))</f>
        <v/>
      </c>
      <c r="P143" s="53" t="str">
        <f aca="false">IF(SUMPRODUCT((tl_target=$C143)*(tl_sub=P$4)*(tl_align="Primary"))&gt;0,"P",IF(SUMPRODUCT((tl_target=$C143)*(tl_sub=P$4))&gt;0,"S",""))</f>
        <v/>
      </c>
      <c r="Q143" s="53" t="str">
        <f aca="false">IF(SUMPRODUCT((tl_target=$C143)*(tl_sub=Q$4)*(tl_align="Primary"))&gt;0,"P",IF(SUMPRODUCT((tl_target=$C143)*(tl_sub=Q$4))&gt;0,"S",""))</f>
        <v/>
      </c>
      <c r="R143" s="69" t="str">
        <f aca="false">_xlfn.TEXTJOIN(", ",TRUE(),IF(SUMPRODUCT((tl_target=$C143)*(tl_principle="PP1"))&gt;0,"PP1",""),IF(SUMPRODUCT((tl_target=$C143)*(tl_principle="PP2"))&gt;0,"PP2",""),IF(SUMPRODUCT((tl_target=$C143)*(tl_principle="PP3"))&gt;0,"PP3",""),IF(SUMPRODUCT((tl_target=$C143)*(tl_principle="PP4"))&gt;0,"PP4",""))</f>
        <v/>
      </c>
      <c r="S143" s="9" t="n">
        <f aca="false">SUMPRODUCT(--(tl_target=$C143))</f>
        <v>0</v>
      </c>
      <c r="T143" s="53" t="str">
        <f aca="false">IF(SUMPRODUCT((tl_target=$C143)*(tl_align="Primary"))&gt;0,"Primary link",IF(S143&gt;0,"Secondary only","Gap"))</f>
        <v>Gap</v>
      </c>
      <c r="U143" s="66"/>
      <c r="V143" s="66"/>
      <c r="W143" s="66"/>
      <c r="X143" s="66"/>
      <c r="Y143" s="66"/>
    </row>
    <row r="144" customFormat="false" ht="23.85" hidden="false" customHeight="false" outlineLevel="0" collapsed="false">
      <c r="A144" s="18" t="n">
        <v>16</v>
      </c>
      <c r="B144" s="5" t="s">
        <v>193</v>
      </c>
      <c r="C144" s="13" t="s">
        <v>832</v>
      </c>
      <c r="D144" s="5" t="s">
        <v>499</v>
      </c>
      <c r="E144" s="5"/>
      <c r="F144" s="5" t="s">
        <v>833</v>
      </c>
      <c r="G144" s="9" t="n">
        <v>3</v>
      </c>
      <c r="H144" s="53" t="str">
        <f aca="false">IF(SUMPRODUCT((tl_target=$C144)*(tl_sub=H$4)*(tl_align="Primary"))&gt;0,"P",IF(SUMPRODUCT((tl_target=$C144)*(tl_sub=H$4))&gt;0,"S",""))</f>
        <v/>
      </c>
      <c r="I144" s="53" t="str">
        <f aca="false">IF(SUMPRODUCT((tl_target=$C144)*(tl_sub=I$4)*(tl_align="Primary"))&gt;0,"P",IF(SUMPRODUCT((tl_target=$C144)*(tl_sub=I$4))&gt;0,"S",""))</f>
        <v/>
      </c>
      <c r="J144" s="53" t="str">
        <f aca="false">IF(SUMPRODUCT((tl_target=$C144)*(tl_sub=J$4)*(tl_align="Primary"))&gt;0,"P",IF(SUMPRODUCT((tl_target=$C144)*(tl_sub=J$4))&gt;0,"S",""))</f>
        <v/>
      </c>
      <c r="K144" s="53" t="str">
        <f aca="false">IF(SUMPRODUCT((tl_target=$C144)*(tl_sub=K$4)*(tl_align="Primary"))&gt;0,"P",IF(SUMPRODUCT((tl_target=$C144)*(tl_sub=K$4))&gt;0,"S",""))</f>
        <v/>
      </c>
      <c r="L144" s="53" t="str">
        <f aca="false">IF(SUMPRODUCT((tl_target=$C144)*(tl_sub=L$4)*(tl_align="Primary"))&gt;0,"P",IF(SUMPRODUCT((tl_target=$C144)*(tl_sub=L$4))&gt;0,"S",""))</f>
        <v/>
      </c>
      <c r="M144" s="53" t="str">
        <f aca="false">IF(SUMPRODUCT((tl_target=$C144)*(tl_sub=M$4)*(tl_align="Primary"))&gt;0,"P",IF(SUMPRODUCT((tl_target=$C144)*(tl_sub=M$4))&gt;0,"S",""))</f>
        <v/>
      </c>
      <c r="N144" s="53" t="str">
        <f aca="false">IF(SUMPRODUCT((tl_target=$C144)*(tl_sub=N$4)*(tl_align="Primary"))&gt;0,"P",IF(SUMPRODUCT((tl_target=$C144)*(tl_sub=N$4))&gt;0,"S",""))</f>
        <v/>
      </c>
      <c r="O144" s="53" t="str">
        <f aca="false">IF(SUMPRODUCT((tl_target=$C144)*(tl_sub=O$4)*(tl_align="Primary"))&gt;0,"P",IF(SUMPRODUCT((tl_target=$C144)*(tl_sub=O$4))&gt;0,"S",""))</f>
        <v/>
      </c>
      <c r="P144" s="53" t="str">
        <f aca="false">IF(SUMPRODUCT((tl_target=$C144)*(tl_sub=P$4)*(tl_align="Primary"))&gt;0,"P",IF(SUMPRODUCT((tl_target=$C144)*(tl_sub=P$4))&gt;0,"S",""))</f>
        <v/>
      </c>
      <c r="Q144" s="53" t="str">
        <f aca="false">IF(SUMPRODUCT((tl_target=$C144)*(tl_sub=Q$4)*(tl_align="Primary"))&gt;0,"P",IF(SUMPRODUCT((tl_target=$C144)*(tl_sub=Q$4))&gt;0,"S",""))</f>
        <v/>
      </c>
      <c r="R144" s="69" t="str">
        <f aca="false">_xlfn.TEXTJOIN(", ",TRUE(),IF(SUMPRODUCT((tl_target=$C144)*(tl_principle="PP1"))&gt;0,"PP1",""),IF(SUMPRODUCT((tl_target=$C144)*(tl_principle="PP2"))&gt;0,"PP2",""),IF(SUMPRODUCT((tl_target=$C144)*(tl_principle="PP3"))&gt;0,"PP3",""),IF(SUMPRODUCT((tl_target=$C144)*(tl_principle="PP4"))&gt;0,"PP4",""))</f>
        <v/>
      </c>
      <c r="S144" s="9" t="n">
        <f aca="false">SUMPRODUCT(--(tl_target=$C144))</f>
        <v>0</v>
      </c>
      <c r="T144" s="53" t="str">
        <f aca="false">IF(SUMPRODUCT((tl_target=$C144)*(tl_align="Primary"))&gt;0,"Primary link",IF(S144&gt;0,"Secondary only","Gap"))</f>
        <v>Gap</v>
      </c>
      <c r="U144" s="66"/>
      <c r="V144" s="66"/>
      <c r="W144" s="66"/>
      <c r="X144" s="66"/>
      <c r="Y144" s="66"/>
    </row>
    <row r="145" customFormat="false" ht="23.85" hidden="false" customHeight="false" outlineLevel="0" collapsed="false">
      <c r="A145" s="18" t="n">
        <v>16</v>
      </c>
      <c r="B145" s="5" t="s">
        <v>193</v>
      </c>
      <c r="C145" s="13" t="s">
        <v>834</v>
      </c>
      <c r="D145" s="5" t="s">
        <v>499</v>
      </c>
      <c r="E145" s="5"/>
      <c r="F145" s="5" t="s">
        <v>835</v>
      </c>
      <c r="G145" s="9" t="n">
        <v>3</v>
      </c>
      <c r="H145" s="53" t="str">
        <f aca="false">IF(SUMPRODUCT((tl_target=$C145)*(tl_sub=H$4)*(tl_align="Primary"))&gt;0,"P",IF(SUMPRODUCT((tl_target=$C145)*(tl_sub=H$4))&gt;0,"S",""))</f>
        <v/>
      </c>
      <c r="I145" s="53" t="str">
        <f aca="false">IF(SUMPRODUCT((tl_target=$C145)*(tl_sub=I$4)*(tl_align="Primary"))&gt;0,"P",IF(SUMPRODUCT((tl_target=$C145)*(tl_sub=I$4))&gt;0,"S",""))</f>
        <v/>
      </c>
      <c r="J145" s="53" t="str">
        <f aca="false">IF(SUMPRODUCT((tl_target=$C145)*(tl_sub=J$4)*(tl_align="Primary"))&gt;0,"P",IF(SUMPRODUCT((tl_target=$C145)*(tl_sub=J$4))&gt;0,"S",""))</f>
        <v/>
      </c>
      <c r="K145" s="53" t="str">
        <f aca="false">IF(SUMPRODUCT((tl_target=$C145)*(tl_sub=K$4)*(tl_align="Primary"))&gt;0,"P",IF(SUMPRODUCT((tl_target=$C145)*(tl_sub=K$4))&gt;0,"S",""))</f>
        <v/>
      </c>
      <c r="L145" s="53" t="str">
        <f aca="false">IF(SUMPRODUCT((tl_target=$C145)*(tl_sub=L$4)*(tl_align="Primary"))&gt;0,"P",IF(SUMPRODUCT((tl_target=$C145)*(tl_sub=L$4))&gt;0,"S",""))</f>
        <v/>
      </c>
      <c r="M145" s="53" t="str">
        <f aca="false">IF(SUMPRODUCT((tl_target=$C145)*(tl_sub=M$4)*(tl_align="Primary"))&gt;0,"P",IF(SUMPRODUCT((tl_target=$C145)*(tl_sub=M$4))&gt;0,"S",""))</f>
        <v/>
      </c>
      <c r="N145" s="53" t="str">
        <f aca="false">IF(SUMPRODUCT((tl_target=$C145)*(tl_sub=N$4)*(tl_align="Primary"))&gt;0,"P",IF(SUMPRODUCT((tl_target=$C145)*(tl_sub=N$4))&gt;0,"S",""))</f>
        <v/>
      </c>
      <c r="O145" s="53" t="str">
        <f aca="false">IF(SUMPRODUCT((tl_target=$C145)*(tl_sub=O$4)*(tl_align="Primary"))&gt;0,"P",IF(SUMPRODUCT((tl_target=$C145)*(tl_sub=O$4))&gt;0,"S",""))</f>
        <v/>
      </c>
      <c r="P145" s="53" t="str">
        <f aca="false">IF(SUMPRODUCT((tl_target=$C145)*(tl_sub=P$4)*(tl_align="Primary"))&gt;0,"P",IF(SUMPRODUCT((tl_target=$C145)*(tl_sub=P$4))&gt;0,"S",""))</f>
        <v/>
      </c>
      <c r="Q145" s="53" t="str">
        <f aca="false">IF(SUMPRODUCT((tl_target=$C145)*(tl_sub=Q$4)*(tl_align="Primary"))&gt;0,"P",IF(SUMPRODUCT((tl_target=$C145)*(tl_sub=Q$4))&gt;0,"S",""))</f>
        <v/>
      </c>
      <c r="R145" s="69" t="str">
        <f aca="false">_xlfn.TEXTJOIN(", ",TRUE(),IF(SUMPRODUCT((tl_target=$C145)*(tl_principle="PP1"))&gt;0,"PP1",""),IF(SUMPRODUCT((tl_target=$C145)*(tl_principle="PP2"))&gt;0,"PP2",""),IF(SUMPRODUCT((tl_target=$C145)*(tl_principle="PP3"))&gt;0,"PP3",""),IF(SUMPRODUCT((tl_target=$C145)*(tl_principle="PP4"))&gt;0,"PP4",""))</f>
        <v/>
      </c>
      <c r="S145" s="9" t="n">
        <f aca="false">SUMPRODUCT(--(tl_target=$C145))</f>
        <v>0</v>
      </c>
      <c r="T145" s="53" t="str">
        <f aca="false">IF(SUMPRODUCT((tl_target=$C145)*(tl_align="Primary"))&gt;0,"Primary link",IF(S145&gt;0,"Secondary only","Gap"))</f>
        <v>Gap</v>
      </c>
      <c r="U145" s="66"/>
      <c r="V145" s="66"/>
      <c r="W145" s="66"/>
      <c r="X145" s="66"/>
      <c r="Y145" s="66"/>
    </row>
    <row r="146" customFormat="false" ht="23.85" hidden="false" customHeight="false" outlineLevel="0" collapsed="false">
      <c r="A146" s="18" t="n">
        <v>16</v>
      </c>
      <c r="B146" s="5" t="s">
        <v>193</v>
      </c>
      <c r="C146" s="13" t="s">
        <v>836</v>
      </c>
      <c r="D146" s="5" t="s">
        <v>499</v>
      </c>
      <c r="E146" s="5"/>
      <c r="F146" s="5" t="s">
        <v>837</v>
      </c>
      <c r="G146" s="9" t="n">
        <v>2</v>
      </c>
      <c r="H146" s="53" t="str">
        <f aca="false">IF(SUMPRODUCT((tl_target=$C146)*(tl_sub=H$4)*(tl_align="Primary"))&gt;0,"P",IF(SUMPRODUCT((tl_target=$C146)*(tl_sub=H$4))&gt;0,"S",""))</f>
        <v/>
      </c>
      <c r="I146" s="53" t="str">
        <f aca="false">IF(SUMPRODUCT((tl_target=$C146)*(tl_sub=I$4)*(tl_align="Primary"))&gt;0,"P",IF(SUMPRODUCT((tl_target=$C146)*(tl_sub=I$4))&gt;0,"S",""))</f>
        <v/>
      </c>
      <c r="J146" s="53" t="str">
        <f aca="false">IF(SUMPRODUCT((tl_target=$C146)*(tl_sub=J$4)*(tl_align="Primary"))&gt;0,"P",IF(SUMPRODUCT((tl_target=$C146)*(tl_sub=J$4))&gt;0,"S",""))</f>
        <v/>
      </c>
      <c r="K146" s="53" t="str">
        <f aca="false">IF(SUMPRODUCT((tl_target=$C146)*(tl_sub=K$4)*(tl_align="Primary"))&gt;0,"P",IF(SUMPRODUCT((tl_target=$C146)*(tl_sub=K$4))&gt;0,"S",""))</f>
        <v/>
      </c>
      <c r="L146" s="53" t="str">
        <f aca="false">IF(SUMPRODUCT((tl_target=$C146)*(tl_sub=L$4)*(tl_align="Primary"))&gt;0,"P",IF(SUMPRODUCT((tl_target=$C146)*(tl_sub=L$4))&gt;0,"S",""))</f>
        <v/>
      </c>
      <c r="M146" s="53" t="str">
        <f aca="false">IF(SUMPRODUCT((tl_target=$C146)*(tl_sub=M$4)*(tl_align="Primary"))&gt;0,"P",IF(SUMPRODUCT((tl_target=$C146)*(tl_sub=M$4))&gt;0,"S",""))</f>
        <v/>
      </c>
      <c r="N146" s="53" t="str">
        <f aca="false">IF(SUMPRODUCT((tl_target=$C146)*(tl_sub=N$4)*(tl_align="Primary"))&gt;0,"P",IF(SUMPRODUCT((tl_target=$C146)*(tl_sub=N$4))&gt;0,"S",""))</f>
        <v/>
      </c>
      <c r="O146" s="53" t="str">
        <f aca="false">IF(SUMPRODUCT((tl_target=$C146)*(tl_sub=O$4)*(tl_align="Primary"))&gt;0,"P",IF(SUMPRODUCT((tl_target=$C146)*(tl_sub=O$4))&gt;0,"S",""))</f>
        <v/>
      </c>
      <c r="P146" s="53" t="str">
        <f aca="false">IF(SUMPRODUCT((tl_target=$C146)*(tl_sub=P$4)*(tl_align="Primary"))&gt;0,"P",IF(SUMPRODUCT((tl_target=$C146)*(tl_sub=P$4))&gt;0,"S",""))</f>
        <v/>
      </c>
      <c r="Q146" s="53" t="str">
        <f aca="false">IF(SUMPRODUCT((tl_target=$C146)*(tl_sub=Q$4)*(tl_align="Primary"))&gt;0,"P",IF(SUMPRODUCT((tl_target=$C146)*(tl_sub=Q$4))&gt;0,"S",""))</f>
        <v/>
      </c>
      <c r="R146" s="69" t="str">
        <f aca="false">_xlfn.TEXTJOIN(", ",TRUE(),IF(SUMPRODUCT((tl_target=$C146)*(tl_principle="PP1"))&gt;0,"PP1",""),IF(SUMPRODUCT((tl_target=$C146)*(tl_principle="PP2"))&gt;0,"PP2",""),IF(SUMPRODUCT((tl_target=$C146)*(tl_principle="PP3"))&gt;0,"PP3",""),IF(SUMPRODUCT((tl_target=$C146)*(tl_principle="PP4"))&gt;0,"PP4",""))</f>
        <v/>
      </c>
      <c r="S146" s="9" t="n">
        <f aca="false">SUMPRODUCT(--(tl_target=$C146))</f>
        <v>0</v>
      </c>
      <c r="T146" s="53" t="str">
        <f aca="false">IF(SUMPRODUCT((tl_target=$C146)*(tl_align="Primary"))&gt;0,"Primary link",IF(S146&gt;0,"Secondary only","Gap"))</f>
        <v>Gap</v>
      </c>
      <c r="U146" s="66"/>
      <c r="V146" s="66"/>
      <c r="W146" s="66"/>
      <c r="X146" s="66"/>
      <c r="Y146" s="66"/>
    </row>
    <row r="147" customFormat="false" ht="23.85" hidden="false" customHeight="false" outlineLevel="0" collapsed="false">
      <c r="A147" s="18" t="n">
        <v>16</v>
      </c>
      <c r="B147" s="5" t="s">
        <v>193</v>
      </c>
      <c r="C147" s="13" t="s">
        <v>838</v>
      </c>
      <c r="D147" s="5" t="s">
        <v>499</v>
      </c>
      <c r="E147" s="5"/>
      <c r="F147" s="5" t="s">
        <v>839</v>
      </c>
      <c r="G147" s="9" t="n">
        <v>2</v>
      </c>
      <c r="H147" s="53" t="str">
        <f aca="false">IF(SUMPRODUCT((tl_target=$C147)*(tl_sub=H$4)*(tl_align="Primary"))&gt;0,"P",IF(SUMPRODUCT((tl_target=$C147)*(tl_sub=H$4))&gt;0,"S",""))</f>
        <v/>
      </c>
      <c r="I147" s="53" t="str">
        <f aca="false">IF(SUMPRODUCT((tl_target=$C147)*(tl_sub=I$4)*(tl_align="Primary"))&gt;0,"P",IF(SUMPRODUCT((tl_target=$C147)*(tl_sub=I$4))&gt;0,"S",""))</f>
        <v/>
      </c>
      <c r="J147" s="53" t="str">
        <f aca="false">IF(SUMPRODUCT((tl_target=$C147)*(tl_sub=J$4)*(tl_align="Primary"))&gt;0,"P",IF(SUMPRODUCT((tl_target=$C147)*(tl_sub=J$4))&gt;0,"S",""))</f>
        <v/>
      </c>
      <c r="K147" s="53" t="str">
        <f aca="false">IF(SUMPRODUCT((tl_target=$C147)*(tl_sub=K$4)*(tl_align="Primary"))&gt;0,"P",IF(SUMPRODUCT((tl_target=$C147)*(tl_sub=K$4))&gt;0,"S",""))</f>
        <v/>
      </c>
      <c r="L147" s="53" t="str">
        <f aca="false">IF(SUMPRODUCT((tl_target=$C147)*(tl_sub=L$4)*(tl_align="Primary"))&gt;0,"P",IF(SUMPRODUCT((tl_target=$C147)*(tl_sub=L$4))&gt;0,"S",""))</f>
        <v/>
      </c>
      <c r="M147" s="53" t="str">
        <f aca="false">IF(SUMPRODUCT((tl_target=$C147)*(tl_sub=M$4)*(tl_align="Primary"))&gt;0,"P",IF(SUMPRODUCT((tl_target=$C147)*(tl_sub=M$4))&gt;0,"S",""))</f>
        <v/>
      </c>
      <c r="N147" s="53" t="str">
        <f aca="false">IF(SUMPRODUCT((tl_target=$C147)*(tl_sub=N$4)*(tl_align="Primary"))&gt;0,"P",IF(SUMPRODUCT((tl_target=$C147)*(tl_sub=N$4))&gt;0,"S",""))</f>
        <v/>
      </c>
      <c r="O147" s="53" t="str">
        <f aca="false">IF(SUMPRODUCT((tl_target=$C147)*(tl_sub=O$4)*(tl_align="Primary"))&gt;0,"P",IF(SUMPRODUCT((tl_target=$C147)*(tl_sub=O$4))&gt;0,"S",""))</f>
        <v/>
      </c>
      <c r="P147" s="53" t="str">
        <f aca="false">IF(SUMPRODUCT((tl_target=$C147)*(tl_sub=P$4)*(tl_align="Primary"))&gt;0,"P",IF(SUMPRODUCT((tl_target=$C147)*(tl_sub=P$4))&gt;0,"S",""))</f>
        <v/>
      </c>
      <c r="Q147" s="53" t="str">
        <f aca="false">IF(SUMPRODUCT((tl_target=$C147)*(tl_sub=Q$4)*(tl_align="Primary"))&gt;0,"P",IF(SUMPRODUCT((tl_target=$C147)*(tl_sub=Q$4))&gt;0,"S",""))</f>
        <v/>
      </c>
      <c r="R147" s="69" t="str">
        <f aca="false">_xlfn.TEXTJOIN(", ",TRUE(),IF(SUMPRODUCT((tl_target=$C147)*(tl_principle="PP1"))&gt;0,"PP1",""),IF(SUMPRODUCT((tl_target=$C147)*(tl_principle="PP2"))&gt;0,"PP2",""),IF(SUMPRODUCT((tl_target=$C147)*(tl_principle="PP3"))&gt;0,"PP3",""),IF(SUMPRODUCT((tl_target=$C147)*(tl_principle="PP4"))&gt;0,"PP4",""))</f>
        <v/>
      </c>
      <c r="S147" s="9" t="n">
        <f aca="false">SUMPRODUCT(--(tl_target=$C147))</f>
        <v>0</v>
      </c>
      <c r="T147" s="53" t="str">
        <f aca="false">IF(SUMPRODUCT((tl_target=$C147)*(tl_align="Primary"))&gt;0,"Primary link",IF(S147&gt;0,"Secondary only","Gap"))</f>
        <v>Gap</v>
      </c>
      <c r="U147" s="66"/>
      <c r="V147" s="66"/>
      <c r="W147" s="66"/>
      <c r="X147" s="66"/>
      <c r="Y147" s="66"/>
    </row>
    <row r="148" customFormat="false" ht="23.85" hidden="false" customHeight="false" outlineLevel="0" collapsed="false">
      <c r="A148" s="18" t="n">
        <v>16</v>
      </c>
      <c r="B148" s="5" t="s">
        <v>193</v>
      </c>
      <c r="C148" s="13" t="s">
        <v>130</v>
      </c>
      <c r="D148" s="5" t="s">
        <v>499</v>
      </c>
      <c r="E148" s="5" t="s">
        <v>194</v>
      </c>
      <c r="F148" s="5" t="s">
        <v>195</v>
      </c>
      <c r="G148" s="9" t="n">
        <v>2</v>
      </c>
      <c r="H148" s="53" t="str">
        <f aca="false">IF(SUMPRODUCT((tl_target=$C148)*(tl_sub=H$4)*(tl_align="Primary"))&gt;0,"P",IF(SUMPRODUCT((tl_target=$C148)*(tl_sub=H$4))&gt;0,"S",""))</f>
        <v/>
      </c>
      <c r="I148" s="53" t="str">
        <f aca="false">IF(SUMPRODUCT((tl_target=$C148)*(tl_sub=I$4)*(tl_align="Primary"))&gt;0,"P",IF(SUMPRODUCT((tl_target=$C148)*(tl_sub=I$4))&gt;0,"S",""))</f>
        <v>S</v>
      </c>
      <c r="J148" s="53" t="str">
        <f aca="false">IF(SUMPRODUCT((tl_target=$C148)*(tl_sub=J$4)*(tl_align="Primary"))&gt;0,"P",IF(SUMPRODUCT((tl_target=$C148)*(tl_sub=J$4))&gt;0,"S",""))</f>
        <v/>
      </c>
      <c r="K148" s="53" t="str">
        <f aca="false">IF(SUMPRODUCT((tl_target=$C148)*(tl_sub=K$4)*(tl_align="Primary"))&gt;0,"P",IF(SUMPRODUCT((tl_target=$C148)*(tl_sub=K$4))&gt;0,"S",""))</f>
        <v/>
      </c>
      <c r="L148" s="53" t="str">
        <f aca="false">IF(SUMPRODUCT((tl_target=$C148)*(tl_sub=L$4)*(tl_align="Primary"))&gt;0,"P",IF(SUMPRODUCT((tl_target=$C148)*(tl_sub=L$4))&gt;0,"S",""))</f>
        <v/>
      </c>
      <c r="M148" s="53" t="str">
        <f aca="false">IF(SUMPRODUCT((tl_target=$C148)*(tl_sub=M$4)*(tl_align="Primary"))&gt;0,"P",IF(SUMPRODUCT((tl_target=$C148)*(tl_sub=M$4))&gt;0,"S",""))</f>
        <v/>
      </c>
      <c r="N148" s="53" t="str">
        <f aca="false">IF(SUMPRODUCT((tl_target=$C148)*(tl_sub=N$4)*(tl_align="Primary"))&gt;0,"P",IF(SUMPRODUCT((tl_target=$C148)*(tl_sub=N$4))&gt;0,"S",""))</f>
        <v/>
      </c>
      <c r="O148" s="53" t="str">
        <f aca="false">IF(SUMPRODUCT((tl_target=$C148)*(tl_sub=O$4)*(tl_align="Primary"))&gt;0,"P",IF(SUMPRODUCT((tl_target=$C148)*(tl_sub=O$4))&gt;0,"S",""))</f>
        <v>S</v>
      </c>
      <c r="P148" s="53" t="str">
        <f aca="false">IF(SUMPRODUCT((tl_target=$C148)*(tl_sub=P$4)*(tl_align="Primary"))&gt;0,"P",IF(SUMPRODUCT((tl_target=$C148)*(tl_sub=P$4))&gt;0,"S",""))</f>
        <v>P</v>
      </c>
      <c r="Q148" s="53" t="str">
        <f aca="false">IF(SUMPRODUCT((tl_target=$C148)*(tl_sub=Q$4)*(tl_align="Primary"))&gt;0,"P",IF(SUMPRODUCT((tl_target=$C148)*(tl_sub=Q$4))&gt;0,"S",""))</f>
        <v>P</v>
      </c>
      <c r="R148" s="69" t="str">
        <f aca="false">_xlfn.TEXTJOIN(", ",TRUE(),IF(SUMPRODUCT((tl_target=$C148)*(tl_principle="PP1"))&gt;0,"PP1",""),IF(SUMPRODUCT((tl_target=$C148)*(tl_principle="PP2"))&gt;0,"PP2",""),IF(SUMPRODUCT((tl_target=$C148)*(tl_principle="PP3"))&gt;0,"PP3",""),IF(SUMPRODUCT((tl_target=$C148)*(tl_principle="PP4"))&gt;0,"PP4",""))</f>
        <v>PP1, PP3, PP4</v>
      </c>
      <c r="S148" s="9" t="n">
        <f aca="false">SUMPRODUCT(--(tl_target=$C148))</f>
        <v>4</v>
      </c>
      <c r="T148" s="53" t="str">
        <f aca="false">IF(SUMPRODUCT((tl_target=$C148)*(tl_align="Primary"))&gt;0,"Primary link",IF(S148&gt;0,"Secondary only","Gap"))</f>
        <v>Primary link</v>
      </c>
      <c r="U148" s="66"/>
      <c r="V148" s="66"/>
      <c r="W148" s="66"/>
      <c r="X148" s="66"/>
      <c r="Y148" s="66"/>
    </row>
    <row r="149" customFormat="false" ht="23.85" hidden="false" customHeight="false" outlineLevel="0" collapsed="false">
      <c r="A149" s="18" t="n">
        <v>16</v>
      </c>
      <c r="B149" s="5" t="s">
        <v>193</v>
      </c>
      <c r="C149" s="13" t="s">
        <v>326</v>
      </c>
      <c r="D149" s="5" t="s">
        <v>499</v>
      </c>
      <c r="E149" s="5" t="s">
        <v>327</v>
      </c>
      <c r="F149" s="5" t="s">
        <v>328</v>
      </c>
      <c r="G149" s="9" t="n">
        <v>2</v>
      </c>
      <c r="H149" s="53" t="str">
        <f aca="false">IF(SUMPRODUCT((tl_target=$C149)*(tl_sub=H$4)*(tl_align="Primary"))&gt;0,"P",IF(SUMPRODUCT((tl_target=$C149)*(tl_sub=H$4))&gt;0,"S",""))</f>
        <v/>
      </c>
      <c r="I149" s="53" t="str">
        <f aca="false">IF(SUMPRODUCT((tl_target=$C149)*(tl_sub=I$4)*(tl_align="Primary"))&gt;0,"P",IF(SUMPRODUCT((tl_target=$C149)*(tl_sub=I$4))&gt;0,"S",""))</f>
        <v/>
      </c>
      <c r="J149" s="53" t="str">
        <f aca="false">IF(SUMPRODUCT((tl_target=$C149)*(tl_sub=J$4)*(tl_align="Primary"))&gt;0,"P",IF(SUMPRODUCT((tl_target=$C149)*(tl_sub=J$4))&gt;0,"S",""))</f>
        <v/>
      </c>
      <c r="K149" s="53" t="str">
        <f aca="false">IF(SUMPRODUCT((tl_target=$C149)*(tl_sub=K$4)*(tl_align="Primary"))&gt;0,"P",IF(SUMPRODUCT((tl_target=$C149)*(tl_sub=K$4))&gt;0,"S",""))</f>
        <v/>
      </c>
      <c r="L149" s="53" t="str">
        <f aca="false">IF(SUMPRODUCT((tl_target=$C149)*(tl_sub=L$4)*(tl_align="Primary"))&gt;0,"P",IF(SUMPRODUCT((tl_target=$C149)*(tl_sub=L$4))&gt;0,"S",""))</f>
        <v/>
      </c>
      <c r="M149" s="53" t="str">
        <f aca="false">IF(SUMPRODUCT((tl_target=$C149)*(tl_sub=M$4)*(tl_align="Primary"))&gt;0,"P",IF(SUMPRODUCT((tl_target=$C149)*(tl_sub=M$4))&gt;0,"S",""))</f>
        <v/>
      </c>
      <c r="N149" s="53" t="str">
        <f aca="false">IF(SUMPRODUCT((tl_target=$C149)*(tl_sub=N$4)*(tl_align="Primary"))&gt;0,"P",IF(SUMPRODUCT((tl_target=$C149)*(tl_sub=N$4))&gt;0,"S",""))</f>
        <v>S</v>
      </c>
      <c r="O149" s="53" t="str">
        <f aca="false">IF(SUMPRODUCT((tl_target=$C149)*(tl_sub=O$4)*(tl_align="Primary"))&gt;0,"P",IF(SUMPRODUCT((tl_target=$C149)*(tl_sub=O$4))&gt;0,"S",""))</f>
        <v>S</v>
      </c>
      <c r="P149" s="53" t="str">
        <f aca="false">IF(SUMPRODUCT((tl_target=$C149)*(tl_sub=P$4)*(tl_align="Primary"))&gt;0,"P",IF(SUMPRODUCT((tl_target=$C149)*(tl_sub=P$4))&gt;0,"S",""))</f>
        <v/>
      </c>
      <c r="Q149" s="53" t="str">
        <f aca="false">IF(SUMPRODUCT((tl_target=$C149)*(tl_sub=Q$4)*(tl_align="Primary"))&gt;0,"P",IF(SUMPRODUCT((tl_target=$C149)*(tl_sub=Q$4))&gt;0,"S",""))</f>
        <v>P</v>
      </c>
      <c r="R149" s="69" t="str">
        <f aca="false">_xlfn.TEXTJOIN(", ",TRUE(),IF(SUMPRODUCT((tl_target=$C149)*(tl_principle="PP1"))&gt;0,"PP1",""),IF(SUMPRODUCT((tl_target=$C149)*(tl_principle="PP2"))&gt;0,"PP2",""),IF(SUMPRODUCT((tl_target=$C149)*(tl_principle="PP3"))&gt;0,"PP3",""),IF(SUMPRODUCT((tl_target=$C149)*(tl_principle="PP4"))&gt;0,"PP4",""))</f>
        <v>PP3, PP4</v>
      </c>
      <c r="S149" s="9" t="n">
        <f aca="false">SUMPRODUCT(--(tl_target=$C149))</f>
        <v>3</v>
      </c>
      <c r="T149" s="53" t="str">
        <f aca="false">IF(SUMPRODUCT((tl_target=$C149)*(tl_align="Primary"))&gt;0,"Primary link",IF(S149&gt;0,"Secondary only","Gap"))</f>
        <v>Primary link</v>
      </c>
      <c r="U149" s="66"/>
      <c r="V149" s="66"/>
      <c r="W149" s="66"/>
      <c r="X149" s="66"/>
      <c r="Y149" s="66"/>
    </row>
    <row r="150" customFormat="false" ht="23.85" hidden="false" customHeight="false" outlineLevel="0" collapsed="false">
      <c r="A150" s="18" t="n">
        <v>16</v>
      </c>
      <c r="B150" s="5" t="s">
        <v>193</v>
      </c>
      <c r="C150" s="13" t="s">
        <v>840</v>
      </c>
      <c r="D150" s="5" t="s">
        <v>499</v>
      </c>
      <c r="E150" s="5"/>
      <c r="F150" s="5" t="s">
        <v>841</v>
      </c>
      <c r="G150" s="9" t="n">
        <v>1</v>
      </c>
      <c r="H150" s="53" t="str">
        <f aca="false">IF(SUMPRODUCT((tl_target=$C150)*(tl_sub=H$4)*(tl_align="Primary"))&gt;0,"P",IF(SUMPRODUCT((tl_target=$C150)*(tl_sub=H$4))&gt;0,"S",""))</f>
        <v/>
      </c>
      <c r="I150" s="53" t="str">
        <f aca="false">IF(SUMPRODUCT((tl_target=$C150)*(tl_sub=I$4)*(tl_align="Primary"))&gt;0,"P",IF(SUMPRODUCT((tl_target=$C150)*(tl_sub=I$4))&gt;0,"S",""))</f>
        <v/>
      </c>
      <c r="J150" s="53" t="str">
        <f aca="false">IF(SUMPRODUCT((tl_target=$C150)*(tl_sub=J$4)*(tl_align="Primary"))&gt;0,"P",IF(SUMPRODUCT((tl_target=$C150)*(tl_sub=J$4))&gt;0,"S",""))</f>
        <v/>
      </c>
      <c r="K150" s="53" t="str">
        <f aca="false">IF(SUMPRODUCT((tl_target=$C150)*(tl_sub=K$4)*(tl_align="Primary"))&gt;0,"P",IF(SUMPRODUCT((tl_target=$C150)*(tl_sub=K$4))&gt;0,"S",""))</f>
        <v/>
      </c>
      <c r="L150" s="53" t="str">
        <f aca="false">IF(SUMPRODUCT((tl_target=$C150)*(tl_sub=L$4)*(tl_align="Primary"))&gt;0,"P",IF(SUMPRODUCT((tl_target=$C150)*(tl_sub=L$4))&gt;0,"S",""))</f>
        <v/>
      </c>
      <c r="M150" s="53" t="str">
        <f aca="false">IF(SUMPRODUCT((tl_target=$C150)*(tl_sub=M$4)*(tl_align="Primary"))&gt;0,"P",IF(SUMPRODUCT((tl_target=$C150)*(tl_sub=M$4))&gt;0,"S",""))</f>
        <v/>
      </c>
      <c r="N150" s="53" t="str">
        <f aca="false">IF(SUMPRODUCT((tl_target=$C150)*(tl_sub=N$4)*(tl_align="Primary"))&gt;0,"P",IF(SUMPRODUCT((tl_target=$C150)*(tl_sub=N$4))&gt;0,"S",""))</f>
        <v/>
      </c>
      <c r="O150" s="53" t="str">
        <f aca="false">IF(SUMPRODUCT((tl_target=$C150)*(tl_sub=O$4)*(tl_align="Primary"))&gt;0,"P",IF(SUMPRODUCT((tl_target=$C150)*(tl_sub=O$4))&gt;0,"S",""))</f>
        <v/>
      </c>
      <c r="P150" s="53" t="str">
        <f aca="false">IF(SUMPRODUCT((tl_target=$C150)*(tl_sub=P$4)*(tl_align="Primary"))&gt;0,"P",IF(SUMPRODUCT((tl_target=$C150)*(tl_sub=P$4))&gt;0,"S",""))</f>
        <v/>
      </c>
      <c r="Q150" s="53" t="str">
        <f aca="false">IF(SUMPRODUCT((tl_target=$C150)*(tl_sub=Q$4)*(tl_align="Primary"))&gt;0,"P",IF(SUMPRODUCT((tl_target=$C150)*(tl_sub=Q$4))&gt;0,"S",""))</f>
        <v/>
      </c>
      <c r="R150" s="69" t="str">
        <f aca="false">_xlfn.TEXTJOIN(", ",TRUE(),IF(SUMPRODUCT((tl_target=$C150)*(tl_principle="PP1"))&gt;0,"PP1",""),IF(SUMPRODUCT((tl_target=$C150)*(tl_principle="PP2"))&gt;0,"PP2",""),IF(SUMPRODUCT((tl_target=$C150)*(tl_principle="PP3"))&gt;0,"PP3",""),IF(SUMPRODUCT((tl_target=$C150)*(tl_principle="PP4"))&gt;0,"PP4",""))</f>
        <v/>
      </c>
      <c r="S150" s="9" t="n">
        <f aca="false">SUMPRODUCT(--(tl_target=$C150))</f>
        <v>0</v>
      </c>
      <c r="T150" s="53" t="str">
        <f aca="false">IF(SUMPRODUCT((tl_target=$C150)*(tl_align="Primary"))&gt;0,"Primary link",IF(S150&gt;0,"Secondary only","Gap"))</f>
        <v>Gap</v>
      </c>
      <c r="U150" s="66"/>
      <c r="V150" s="66"/>
      <c r="W150" s="66"/>
      <c r="X150" s="66"/>
      <c r="Y150" s="66"/>
    </row>
    <row r="151" customFormat="false" ht="23.85" hidden="false" customHeight="false" outlineLevel="0" collapsed="false">
      <c r="A151" s="18" t="n">
        <v>16</v>
      </c>
      <c r="B151" s="5" t="s">
        <v>193</v>
      </c>
      <c r="C151" s="13" t="s">
        <v>842</v>
      </c>
      <c r="D151" s="5" t="s">
        <v>499</v>
      </c>
      <c r="E151" s="5"/>
      <c r="F151" s="5" t="s">
        <v>843</v>
      </c>
      <c r="G151" s="9" t="n">
        <v>1</v>
      </c>
      <c r="H151" s="53" t="str">
        <f aca="false">IF(SUMPRODUCT((tl_target=$C151)*(tl_sub=H$4)*(tl_align="Primary"))&gt;0,"P",IF(SUMPRODUCT((tl_target=$C151)*(tl_sub=H$4))&gt;0,"S",""))</f>
        <v/>
      </c>
      <c r="I151" s="53" t="str">
        <f aca="false">IF(SUMPRODUCT((tl_target=$C151)*(tl_sub=I$4)*(tl_align="Primary"))&gt;0,"P",IF(SUMPRODUCT((tl_target=$C151)*(tl_sub=I$4))&gt;0,"S",""))</f>
        <v/>
      </c>
      <c r="J151" s="53" t="str">
        <f aca="false">IF(SUMPRODUCT((tl_target=$C151)*(tl_sub=J$4)*(tl_align="Primary"))&gt;0,"P",IF(SUMPRODUCT((tl_target=$C151)*(tl_sub=J$4))&gt;0,"S",""))</f>
        <v/>
      </c>
      <c r="K151" s="53" t="str">
        <f aca="false">IF(SUMPRODUCT((tl_target=$C151)*(tl_sub=K$4)*(tl_align="Primary"))&gt;0,"P",IF(SUMPRODUCT((tl_target=$C151)*(tl_sub=K$4))&gt;0,"S",""))</f>
        <v/>
      </c>
      <c r="L151" s="53" t="str">
        <f aca="false">IF(SUMPRODUCT((tl_target=$C151)*(tl_sub=L$4)*(tl_align="Primary"))&gt;0,"P",IF(SUMPRODUCT((tl_target=$C151)*(tl_sub=L$4))&gt;0,"S",""))</f>
        <v/>
      </c>
      <c r="M151" s="53" t="str">
        <f aca="false">IF(SUMPRODUCT((tl_target=$C151)*(tl_sub=M$4)*(tl_align="Primary"))&gt;0,"P",IF(SUMPRODUCT((tl_target=$C151)*(tl_sub=M$4))&gt;0,"S",""))</f>
        <v/>
      </c>
      <c r="N151" s="53" t="str">
        <f aca="false">IF(SUMPRODUCT((tl_target=$C151)*(tl_sub=N$4)*(tl_align="Primary"))&gt;0,"P",IF(SUMPRODUCT((tl_target=$C151)*(tl_sub=N$4))&gt;0,"S",""))</f>
        <v/>
      </c>
      <c r="O151" s="53" t="str">
        <f aca="false">IF(SUMPRODUCT((tl_target=$C151)*(tl_sub=O$4)*(tl_align="Primary"))&gt;0,"P",IF(SUMPRODUCT((tl_target=$C151)*(tl_sub=O$4))&gt;0,"S",""))</f>
        <v/>
      </c>
      <c r="P151" s="53" t="str">
        <f aca="false">IF(SUMPRODUCT((tl_target=$C151)*(tl_sub=P$4)*(tl_align="Primary"))&gt;0,"P",IF(SUMPRODUCT((tl_target=$C151)*(tl_sub=P$4))&gt;0,"S",""))</f>
        <v/>
      </c>
      <c r="Q151" s="53" t="str">
        <f aca="false">IF(SUMPRODUCT((tl_target=$C151)*(tl_sub=Q$4)*(tl_align="Primary"))&gt;0,"P",IF(SUMPRODUCT((tl_target=$C151)*(tl_sub=Q$4))&gt;0,"S",""))</f>
        <v/>
      </c>
      <c r="R151" s="69" t="str">
        <f aca="false">_xlfn.TEXTJOIN(", ",TRUE(),IF(SUMPRODUCT((tl_target=$C151)*(tl_principle="PP1"))&gt;0,"PP1",""),IF(SUMPRODUCT((tl_target=$C151)*(tl_principle="PP2"))&gt;0,"PP2",""),IF(SUMPRODUCT((tl_target=$C151)*(tl_principle="PP3"))&gt;0,"PP3",""),IF(SUMPRODUCT((tl_target=$C151)*(tl_principle="PP4"))&gt;0,"PP4",""))</f>
        <v/>
      </c>
      <c r="S151" s="9" t="n">
        <f aca="false">SUMPRODUCT(--(tl_target=$C151))</f>
        <v>0</v>
      </c>
      <c r="T151" s="53" t="str">
        <f aca="false">IF(SUMPRODUCT((tl_target=$C151)*(tl_align="Primary"))&gt;0,"Primary link",IF(S151&gt;0,"Secondary only","Gap"))</f>
        <v>Gap</v>
      </c>
      <c r="U151" s="66"/>
      <c r="V151" s="66"/>
      <c r="W151" s="66"/>
      <c r="X151" s="66"/>
      <c r="Y151" s="66"/>
    </row>
    <row r="152" customFormat="false" ht="23.85" hidden="false" customHeight="false" outlineLevel="0" collapsed="false">
      <c r="A152" s="18" t="n">
        <v>16</v>
      </c>
      <c r="B152" s="5" t="s">
        <v>193</v>
      </c>
      <c r="C152" s="13" t="s">
        <v>198</v>
      </c>
      <c r="D152" s="5" t="s">
        <v>499</v>
      </c>
      <c r="E152" s="5" t="s">
        <v>199</v>
      </c>
      <c r="F152" s="5" t="s">
        <v>200</v>
      </c>
      <c r="G152" s="9" t="n">
        <v>2</v>
      </c>
      <c r="H152" s="53" t="str">
        <f aca="false">IF(SUMPRODUCT((tl_target=$C152)*(tl_sub=H$4)*(tl_align="Primary"))&gt;0,"P",IF(SUMPRODUCT((tl_target=$C152)*(tl_sub=H$4))&gt;0,"S",""))</f>
        <v/>
      </c>
      <c r="I152" s="53" t="str">
        <f aca="false">IF(SUMPRODUCT((tl_target=$C152)*(tl_sub=I$4)*(tl_align="Primary"))&gt;0,"P",IF(SUMPRODUCT((tl_target=$C152)*(tl_sub=I$4))&gt;0,"S",""))</f>
        <v>S</v>
      </c>
      <c r="J152" s="53" t="str">
        <f aca="false">IF(SUMPRODUCT((tl_target=$C152)*(tl_sub=J$4)*(tl_align="Primary"))&gt;0,"P",IF(SUMPRODUCT((tl_target=$C152)*(tl_sub=J$4))&gt;0,"S",""))</f>
        <v/>
      </c>
      <c r="K152" s="53" t="str">
        <f aca="false">IF(SUMPRODUCT((tl_target=$C152)*(tl_sub=K$4)*(tl_align="Primary"))&gt;0,"P",IF(SUMPRODUCT((tl_target=$C152)*(tl_sub=K$4))&gt;0,"S",""))</f>
        <v/>
      </c>
      <c r="L152" s="53" t="str">
        <f aca="false">IF(SUMPRODUCT((tl_target=$C152)*(tl_sub=L$4)*(tl_align="Primary"))&gt;0,"P",IF(SUMPRODUCT((tl_target=$C152)*(tl_sub=L$4))&gt;0,"S",""))</f>
        <v/>
      </c>
      <c r="M152" s="53" t="str">
        <f aca="false">IF(SUMPRODUCT((tl_target=$C152)*(tl_sub=M$4)*(tl_align="Primary"))&gt;0,"P",IF(SUMPRODUCT((tl_target=$C152)*(tl_sub=M$4))&gt;0,"S",""))</f>
        <v/>
      </c>
      <c r="N152" s="53" t="str">
        <f aca="false">IF(SUMPRODUCT((tl_target=$C152)*(tl_sub=N$4)*(tl_align="Primary"))&gt;0,"P",IF(SUMPRODUCT((tl_target=$C152)*(tl_sub=N$4))&gt;0,"S",""))</f>
        <v/>
      </c>
      <c r="O152" s="53" t="str">
        <f aca="false">IF(SUMPRODUCT((tl_target=$C152)*(tl_sub=O$4)*(tl_align="Primary"))&gt;0,"P",IF(SUMPRODUCT((tl_target=$C152)*(tl_sub=O$4))&gt;0,"S",""))</f>
        <v/>
      </c>
      <c r="P152" s="53" t="str">
        <f aca="false">IF(SUMPRODUCT((tl_target=$C152)*(tl_sub=P$4)*(tl_align="Primary"))&gt;0,"P",IF(SUMPRODUCT((tl_target=$C152)*(tl_sub=P$4))&gt;0,"S",""))</f>
        <v/>
      </c>
      <c r="Q152" s="53" t="str">
        <f aca="false">IF(SUMPRODUCT((tl_target=$C152)*(tl_sub=Q$4)*(tl_align="Primary"))&gt;0,"P",IF(SUMPRODUCT((tl_target=$C152)*(tl_sub=Q$4))&gt;0,"S",""))</f>
        <v/>
      </c>
      <c r="R152" s="69" t="str">
        <f aca="false">_xlfn.TEXTJOIN(", ",TRUE(),IF(SUMPRODUCT((tl_target=$C152)*(tl_principle="PP1"))&gt;0,"PP1",""),IF(SUMPRODUCT((tl_target=$C152)*(tl_principle="PP2"))&gt;0,"PP2",""),IF(SUMPRODUCT((tl_target=$C152)*(tl_principle="PP3"))&gt;0,"PP3",""),IF(SUMPRODUCT((tl_target=$C152)*(tl_principle="PP4"))&gt;0,"PP4",""))</f>
        <v>PP1</v>
      </c>
      <c r="S152" s="9" t="n">
        <f aca="false">SUMPRODUCT(--(tl_target=$C152))</f>
        <v>1</v>
      </c>
      <c r="T152" s="53" t="str">
        <f aca="false">IF(SUMPRODUCT((tl_target=$C152)*(tl_align="Primary"))&gt;0,"Primary link",IF(S152&gt;0,"Secondary only","Gap"))</f>
        <v>Secondary only</v>
      </c>
      <c r="U152" s="66"/>
      <c r="V152" s="66"/>
      <c r="W152" s="66"/>
      <c r="X152" s="66"/>
      <c r="Y152" s="66"/>
    </row>
    <row r="153" customFormat="false" ht="35.05" hidden="false" customHeight="false" outlineLevel="0" collapsed="false">
      <c r="A153" s="18" t="n">
        <v>16</v>
      </c>
      <c r="B153" s="5" t="s">
        <v>193</v>
      </c>
      <c r="C153" s="13" t="s">
        <v>844</v>
      </c>
      <c r="D153" s="5" t="s">
        <v>612</v>
      </c>
      <c r="E153" s="5"/>
      <c r="F153" s="5" t="s">
        <v>845</v>
      </c>
      <c r="G153" s="9" t="n">
        <v>1</v>
      </c>
      <c r="H153" s="53" t="str">
        <f aca="false">IF(SUMPRODUCT((tl_target=$C153)*(tl_sub=H$4)*(tl_align="Primary"))&gt;0,"P",IF(SUMPRODUCT((tl_target=$C153)*(tl_sub=H$4))&gt;0,"S",""))</f>
        <v/>
      </c>
      <c r="I153" s="53" t="str">
        <f aca="false">IF(SUMPRODUCT((tl_target=$C153)*(tl_sub=I$4)*(tl_align="Primary"))&gt;0,"P",IF(SUMPRODUCT((tl_target=$C153)*(tl_sub=I$4))&gt;0,"S",""))</f>
        <v/>
      </c>
      <c r="J153" s="53" t="str">
        <f aca="false">IF(SUMPRODUCT((tl_target=$C153)*(tl_sub=J$4)*(tl_align="Primary"))&gt;0,"P",IF(SUMPRODUCT((tl_target=$C153)*(tl_sub=J$4))&gt;0,"S",""))</f>
        <v/>
      </c>
      <c r="K153" s="53" t="str">
        <f aca="false">IF(SUMPRODUCT((tl_target=$C153)*(tl_sub=K$4)*(tl_align="Primary"))&gt;0,"P",IF(SUMPRODUCT((tl_target=$C153)*(tl_sub=K$4))&gt;0,"S",""))</f>
        <v/>
      </c>
      <c r="L153" s="53" t="str">
        <f aca="false">IF(SUMPRODUCT((tl_target=$C153)*(tl_sub=L$4)*(tl_align="Primary"))&gt;0,"P",IF(SUMPRODUCT((tl_target=$C153)*(tl_sub=L$4))&gt;0,"S",""))</f>
        <v/>
      </c>
      <c r="M153" s="53" t="str">
        <f aca="false">IF(SUMPRODUCT((tl_target=$C153)*(tl_sub=M$4)*(tl_align="Primary"))&gt;0,"P",IF(SUMPRODUCT((tl_target=$C153)*(tl_sub=M$4))&gt;0,"S",""))</f>
        <v/>
      </c>
      <c r="N153" s="53" t="str">
        <f aca="false">IF(SUMPRODUCT((tl_target=$C153)*(tl_sub=N$4)*(tl_align="Primary"))&gt;0,"P",IF(SUMPRODUCT((tl_target=$C153)*(tl_sub=N$4))&gt;0,"S",""))</f>
        <v/>
      </c>
      <c r="O153" s="53" t="str">
        <f aca="false">IF(SUMPRODUCT((tl_target=$C153)*(tl_sub=O$4)*(tl_align="Primary"))&gt;0,"P",IF(SUMPRODUCT((tl_target=$C153)*(tl_sub=O$4))&gt;0,"S",""))</f>
        <v/>
      </c>
      <c r="P153" s="53" t="str">
        <f aca="false">IF(SUMPRODUCT((tl_target=$C153)*(tl_sub=P$4)*(tl_align="Primary"))&gt;0,"P",IF(SUMPRODUCT((tl_target=$C153)*(tl_sub=P$4))&gt;0,"S",""))</f>
        <v/>
      </c>
      <c r="Q153" s="53" t="str">
        <f aca="false">IF(SUMPRODUCT((tl_target=$C153)*(tl_sub=Q$4)*(tl_align="Primary"))&gt;0,"P",IF(SUMPRODUCT((tl_target=$C153)*(tl_sub=Q$4))&gt;0,"S",""))</f>
        <v/>
      </c>
      <c r="R153" s="69" t="str">
        <f aca="false">_xlfn.TEXTJOIN(", ",TRUE(),IF(SUMPRODUCT((tl_target=$C153)*(tl_principle="PP1"))&gt;0,"PP1",""),IF(SUMPRODUCT((tl_target=$C153)*(tl_principle="PP2"))&gt;0,"PP2",""),IF(SUMPRODUCT((tl_target=$C153)*(tl_principle="PP3"))&gt;0,"PP3",""),IF(SUMPRODUCT((tl_target=$C153)*(tl_principle="PP4"))&gt;0,"PP4",""))</f>
        <v/>
      </c>
      <c r="S153" s="9" t="n">
        <f aca="false">SUMPRODUCT(--(tl_target=$C153))</f>
        <v>0</v>
      </c>
      <c r="T153" s="53" t="str">
        <f aca="false">IF(SUMPRODUCT((tl_target=$C153)*(tl_align="Primary"))&gt;0,"Primary link",IF(S153&gt;0,"Secondary only","Gap"))</f>
        <v>Gap</v>
      </c>
      <c r="U153" s="66"/>
      <c r="V153" s="66"/>
      <c r="W153" s="66"/>
      <c r="X153" s="66"/>
      <c r="Y153" s="66"/>
    </row>
    <row r="154" customFormat="false" ht="23.85" hidden="false" customHeight="false" outlineLevel="0" collapsed="false">
      <c r="A154" s="18" t="n">
        <v>16</v>
      </c>
      <c r="B154" s="5" t="s">
        <v>193</v>
      </c>
      <c r="C154" s="13" t="s">
        <v>846</v>
      </c>
      <c r="D154" s="5" t="s">
        <v>612</v>
      </c>
      <c r="E154" s="5"/>
      <c r="F154" s="5" t="s">
        <v>847</v>
      </c>
      <c r="G154" s="9" t="n">
        <v>1</v>
      </c>
      <c r="H154" s="53" t="str">
        <f aca="false">IF(SUMPRODUCT((tl_target=$C154)*(tl_sub=H$4)*(tl_align="Primary"))&gt;0,"P",IF(SUMPRODUCT((tl_target=$C154)*(tl_sub=H$4))&gt;0,"S",""))</f>
        <v/>
      </c>
      <c r="I154" s="53" t="str">
        <f aca="false">IF(SUMPRODUCT((tl_target=$C154)*(tl_sub=I$4)*(tl_align="Primary"))&gt;0,"P",IF(SUMPRODUCT((tl_target=$C154)*(tl_sub=I$4))&gt;0,"S",""))</f>
        <v/>
      </c>
      <c r="J154" s="53" t="str">
        <f aca="false">IF(SUMPRODUCT((tl_target=$C154)*(tl_sub=J$4)*(tl_align="Primary"))&gt;0,"P",IF(SUMPRODUCT((tl_target=$C154)*(tl_sub=J$4))&gt;0,"S",""))</f>
        <v/>
      </c>
      <c r="K154" s="53" t="str">
        <f aca="false">IF(SUMPRODUCT((tl_target=$C154)*(tl_sub=K$4)*(tl_align="Primary"))&gt;0,"P",IF(SUMPRODUCT((tl_target=$C154)*(tl_sub=K$4))&gt;0,"S",""))</f>
        <v/>
      </c>
      <c r="L154" s="53" t="str">
        <f aca="false">IF(SUMPRODUCT((tl_target=$C154)*(tl_sub=L$4)*(tl_align="Primary"))&gt;0,"P",IF(SUMPRODUCT((tl_target=$C154)*(tl_sub=L$4))&gt;0,"S",""))</f>
        <v/>
      </c>
      <c r="M154" s="53" t="str">
        <f aca="false">IF(SUMPRODUCT((tl_target=$C154)*(tl_sub=M$4)*(tl_align="Primary"))&gt;0,"P",IF(SUMPRODUCT((tl_target=$C154)*(tl_sub=M$4))&gt;0,"S",""))</f>
        <v/>
      </c>
      <c r="N154" s="53" t="str">
        <f aca="false">IF(SUMPRODUCT((tl_target=$C154)*(tl_sub=N$4)*(tl_align="Primary"))&gt;0,"P",IF(SUMPRODUCT((tl_target=$C154)*(tl_sub=N$4))&gt;0,"S",""))</f>
        <v/>
      </c>
      <c r="O154" s="53" t="str">
        <f aca="false">IF(SUMPRODUCT((tl_target=$C154)*(tl_sub=O$4)*(tl_align="Primary"))&gt;0,"P",IF(SUMPRODUCT((tl_target=$C154)*(tl_sub=O$4))&gt;0,"S",""))</f>
        <v/>
      </c>
      <c r="P154" s="53" t="str">
        <f aca="false">IF(SUMPRODUCT((tl_target=$C154)*(tl_sub=P$4)*(tl_align="Primary"))&gt;0,"P",IF(SUMPRODUCT((tl_target=$C154)*(tl_sub=P$4))&gt;0,"S",""))</f>
        <v/>
      </c>
      <c r="Q154" s="53" t="str">
        <f aca="false">IF(SUMPRODUCT((tl_target=$C154)*(tl_sub=Q$4)*(tl_align="Primary"))&gt;0,"P",IF(SUMPRODUCT((tl_target=$C154)*(tl_sub=Q$4))&gt;0,"S",""))</f>
        <v/>
      </c>
      <c r="R154" s="69" t="str">
        <f aca="false">_xlfn.TEXTJOIN(", ",TRUE(),IF(SUMPRODUCT((tl_target=$C154)*(tl_principle="PP1"))&gt;0,"PP1",""),IF(SUMPRODUCT((tl_target=$C154)*(tl_principle="PP2"))&gt;0,"PP2",""),IF(SUMPRODUCT((tl_target=$C154)*(tl_principle="PP3"))&gt;0,"PP3",""),IF(SUMPRODUCT((tl_target=$C154)*(tl_principle="PP4"))&gt;0,"PP4",""))</f>
        <v/>
      </c>
      <c r="S154" s="9" t="n">
        <f aca="false">SUMPRODUCT(--(tl_target=$C154))</f>
        <v>0</v>
      </c>
      <c r="T154" s="53" t="str">
        <f aca="false">IF(SUMPRODUCT((tl_target=$C154)*(tl_align="Primary"))&gt;0,"Primary link",IF(S154&gt;0,"Secondary only","Gap"))</f>
        <v>Gap</v>
      </c>
      <c r="U154" s="66"/>
      <c r="V154" s="66"/>
      <c r="W154" s="66"/>
      <c r="X154" s="66"/>
      <c r="Y154" s="66"/>
    </row>
    <row r="155" customFormat="false" ht="35.05" hidden="false" customHeight="false" outlineLevel="0" collapsed="false">
      <c r="A155" s="19" t="n">
        <v>17</v>
      </c>
      <c r="B155" s="5" t="s">
        <v>203</v>
      </c>
      <c r="C155" s="13" t="s">
        <v>347</v>
      </c>
      <c r="D155" s="5" t="s">
        <v>499</v>
      </c>
      <c r="E155" s="5" t="s">
        <v>348</v>
      </c>
      <c r="F155" s="5" t="s">
        <v>349</v>
      </c>
      <c r="G155" s="9" t="n">
        <v>2</v>
      </c>
      <c r="H155" s="53" t="str">
        <f aca="false">IF(SUMPRODUCT((tl_target=$C155)*(tl_sub=H$4)*(tl_align="Primary"))&gt;0,"P",IF(SUMPRODUCT((tl_target=$C155)*(tl_sub=H$4))&gt;0,"S",""))</f>
        <v/>
      </c>
      <c r="I155" s="53" t="str">
        <f aca="false">IF(SUMPRODUCT((tl_target=$C155)*(tl_sub=I$4)*(tl_align="Primary"))&gt;0,"P",IF(SUMPRODUCT((tl_target=$C155)*(tl_sub=I$4))&gt;0,"S",""))</f>
        <v/>
      </c>
      <c r="J155" s="53" t="str">
        <f aca="false">IF(SUMPRODUCT((tl_target=$C155)*(tl_sub=J$4)*(tl_align="Primary"))&gt;0,"P",IF(SUMPRODUCT((tl_target=$C155)*(tl_sub=J$4))&gt;0,"S",""))</f>
        <v/>
      </c>
      <c r="K155" s="53" t="str">
        <f aca="false">IF(SUMPRODUCT((tl_target=$C155)*(tl_sub=K$4)*(tl_align="Primary"))&gt;0,"P",IF(SUMPRODUCT((tl_target=$C155)*(tl_sub=K$4))&gt;0,"S",""))</f>
        <v/>
      </c>
      <c r="L155" s="53" t="str">
        <f aca="false">IF(SUMPRODUCT((tl_target=$C155)*(tl_sub=L$4)*(tl_align="Primary"))&gt;0,"P",IF(SUMPRODUCT((tl_target=$C155)*(tl_sub=L$4))&gt;0,"S",""))</f>
        <v/>
      </c>
      <c r="M155" s="53" t="str">
        <f aca="false">IF(SUMPRODUCT((tl_target=$C155)*(tl_sub=M$4)*(tl_align="Primary"))&gt;0,"P",IF(SUMPRODUCT((tl_target=$C155)*(tl_sub=M$4))&gt;0,"S",""))</f>
        <v/>
      </c>
      <c r="N155" s="53" t="str">
        <f aca="false">IF(SUMPRODUCT((tl_target=$C155)*(tl_sub=N$4)*(tl_align="Primary"))&gt;0,"P",IF(SUMPRODUCT((tl_target=$C155)*(tl_sub=N$4))&gt;0,"S",""))</f>
        <v/>
      </c>
      <c r="O155" s="53" t="str">
        <f aca="false">IF(SUMPRODUCT((tl_target=$C155)*(tl_sub=O$4)*(tl_align="Primary"))&gt;0,"P",IF(SUMPRODUCT((tl_target=$C155)*(tl_sub=O$4))&gt;0,"S",""))</f>
        <v/>
      </c>
      <c r="P155" s="53" t="str">
        <f aca="false">IF(SUMPRODUCT((tl_target=$C155)*(tl_sub=P$4)*(tl_align="Primary"))&gt;0,"P",IF(SUMPRODUCT((tl_target=$C155)*(tl_sub=P$4))&gt;0,"S",""))</f>
        <v>S</v>
      </c>
      <c r="Q155" s="53" t="str">
        <f aca="false">IF(SUMPRODUCT((tl_target=$C155)*(tl_sub=Q$4)*(tl_align="Primary"))&gt;0,"P",IF(SUMPRODUCT((tl_target=$C155)*(tl_sub=Q$4))&gt;0,"S",""))</f>
        <v/>
      </c>
      <c r="R155" s="69" t="str">
        <f aca="false">_xlfn.TEXTJOIN(", ",TRUE(),IF(SUMPRODUCT((tl_target=$C155)*(tl_principle="PP1"))&gt;0,"PP1",""),IF(SUMPRODUCT((tl_target=$C155)*(tl_principle="PP2"))&gt;0,"PP2",""),IF(SUMPRODUCT((tl_target=$C155)*(tl_principle="PP3"))&gt;0,"PP3",""),IF(SUMPRODUCT((tl_target=$C155)*(tl_principle="PP4"))&gt;0,"PP4",""))</f>
        <v>PP4</v>
      </c>
      <c r="S155" s="9" t="n">
        <f aca="false">SUMPRODUCT(--(tl_target=$C155))</f>
        <v>1</v>
      </c>
      <c r="T155" s="53" t="str">
        <f aca="false">IF(SUMPRODUCT((tl_target=$C155)*(tl_align="Primary"))&gt;0,"Primary link",IF(S155&gt;0,"Secondary only","Gap"))</f>
        <v>Secondary only</v>
      </c>
      <c r="U155" s="66"/>
      <c r="V155" s="66"/>
      <c r="W155" s="66"/>
      <c r="X155" s="66"/>
      <c r="Y155" s="66"/>
    </row>
    <row r="156" customFormat="false" ht="79.85" hidden="false" customHeight="false" outlineLevel="0" collapsed="false">
      <c r="A156" s="19" t="n">
        <v>17</v>
      </c>
      <c r="B156" s="5" t="s">
        <v>203</v>
      </c>
      <c r="C156" s="13" t="s">
        <v>848</v>
      </c>
      <c r="D156" s="5" t="s">
        <v>499</v>
      </c>
      <c r="E156" s="5"/>
      <c r="F156" s="5" t="s">
        <v>849</v>
      </c>
      <c r="G156" s="9" t="n">
        <v>1</v>
      </c>
      <c r="H156" s="53" t="str">
        <f aca="false">IF(SUMPRODUCT((tl_target=$C156)*(tl_sub=H$4)*(tl_align="Primary"))&gt;0,"P",IF(SUMPRODUCT((tl_target=$C156)*(tl_sub=H$4))&gt;0,"S",""))</f>
        <v/>
      </c>
      <c r="I156" s="53" t="str">
        <f aca="false">IF(SUMPRODUCT((tl_target=$C156)*(tl_sub=I$4)*(tl_align="Primary"))&gt;0,"P",IF(SUMPRODUCT((tl_target=$C156)*(tl_sub=I$4))&gt;0,"S",""))</f>
        <v/>
      </c>
      <c r="J156" s="53" t="str">
        <f aca="false">IF(SUMPRODUCT((tl_target=$C156)*(tl_sub=J$4)*(tl_align="Primary"))&gt;0,"P",IF(SUMPRODUCT((tl_target=$C156)*(tl_sub=J$4))&gt;0,"S",""))</f>
        <v/>
      </c>
      <c r="K156" s="53" t="str">
        <f aca="false">IF(SUMPRODUCT((tl_target=$C156)*(tl_sub=K$4)*(tl_align="Primary"))&gt;0,"P",IF(SUMPRODUCT((tl_target=$C156)*(tl_sub=K$4))&gt;0,"S",""))</f>
        <v/>
      </c>
      <c r="L156" s="53" t="str">
        <f aca="false">IF(SUMPRODUCT((tl_target=$C156)*(tl_sub=L$4)*(tl_align="Primary"))&gt;0,"P",IF(SUMPRODUCT((tl_target=$C156)*(tl_sub=L$4))&gt;0,"S",""))</f>
        <v/>
      </c>
      <c r="M156" s="53" t="str">
        <f aca="false">IF(SUMPRODUCT((tl_target=$C156)*(tl_sub=M$4)*(tl_align="Primary"))&gt;0,"P",IF(SUMPRODUCT((tl_target=$C156)*(tl_sub=M$4))&gt;0,"S",""))</f>
        <v/>
      </c>
      <c r="N156" s="53" t="str">
        <f aca="false">IF(SUMPRODUCT((tl_target=$C156)*(tl_sub=N$4)*(tl_align="Primary"))&gt;0,"P",IF(SUMPRODUCT((tl_target=$C156)*(tl_sub=N$4))&gt;0,"S",""))</f>
        <v/>
      </c>
      <c r="O156" s="53" t="str">
        <f aca="false">IF(SUMPRODUCT((tl_target=$C156)*(tl_sub=O$4)*(tl_align="Primary"))&gt;0,"P",IF(SUMPRODUCT((tl_target=$C156)*(tl_sub=O$4))&gt;0,"S",""))</f>
        <v/>
      </c>
      <c r="P156" s="53" t="str">
        <f aca="false">IF(SUMPRODUCT((tl_target=$C156)*(tl_sub=P$4)*(tl_align="Primary"))&gt;0,"P",IF(SUMPRODUCT((tl_target=$C156)*(tl_sub=P$4))&gt;0,"S",""))</f>
        <v/>
      </c>
      <c r="Q156" s="53" t="str">
        <f aca="false">IF(SUMPRODUCT((tl_target=$C156)*(tl_sub=Q$4)*(tl_align="Primary"))&gt;0,"P",IF(SUMPRODUCT((tl_target=$C156)*(tl_sub=Q$4))&gt;0,"S",""))</f>
        <v/>
      </c>
      <c r="R156" s="69" t="str">
        <f aca="false">_xlfn.TEXTJOIN(", ",TRUE(),IF(SUMPRODUCT((tl_target=$C156)*(tl_principle="PP1"))&gt;0,"PP1",""),IF(SUMPRODUCT((tl_target=$C156)*(tl_principle="PP2"))&gt;0,"PP2",""),IF(SUMPRODUCT((tl_target=$C156)*(tl_principle="PP3"))&gt;0,"PP3",""),IF(SUMPRODUCT((tl_target=$C156)*(tl_principle="PP4"))&gt;0,"PP4",""))</f>
        <v/>
      </c>
      <c r="S156" s="9" t="n">
        <f aca="false">SUMPRODUCT(--(tl_target=$C156))</f>
        <v>0</v>
      </c>
      <c r="T156" s="53" t="str">
        <f aca="false">IF(SUMPRODUCT((tl_target=$C156)*(tl_align="Primary"))&gt;0,"Primary link",IF(S156&gt;0,"Secondary only","Gap"))</f>
        <v>Gap</v>
      </c>
      <c r="U156" s="66"/>
      <c r="V156" s="66"/>
      <c r="W156" s="66"/>
      <c r="X156" s="66"/>
      <c r="Y156" s="66"/>
    </row>
    <row r="157" customFormat="false" ht="23.85" hidden="false" customHeight="false" outlineLevel="0" collapsed="false">
      <c r="A157" s="19" t="n">
        <v>17</v>
      </c>
      <c r="B157" s="5" t="s">
        <v>203</v>
      </c>
      <c r="C157" s="13" t="s">
        <v>352</v>
      </c>
      <c r="D157" s="5" t="s">
        <v>499</v>
      </c>
      <c r="E157" s="5" t="s">
        <v>353</v>
      </c>
      <c r="F157" s="5" t="s">
        <v>354</v>
      </c>
      <c r="G157" s="9" t="n">
        <v>2</v>
      </c>
      <c r="H157" s="53" t="str">
        <f aca="false">IF(SUMPRODUCT((tl_target=$C157)*(tl_sub=H$4)*(tl_align="Primary"))&gt;0,"P",IF(SUMPRODUCT((tl_target=$C157)*(tl_sub=H$4))&gt;0,"S",""))</f>
        <v/>
      </c>
      <c r="I157" s="53" t="str">
        <f aca="false">IF(SUMPRODUCT((tl_target=$C157)*(tl_sub=I$4)*(tl_align="Primary"))&gt;0,"P",IF(SUMPRODUCT((tl_target=$C157)*(tl_sub=I$4))&gt;0,"S",""))</f>
        <v/>
      </c>
      <c r="J157" s="53" t="str">
        <f aca="false">IF(SUMPRODUCT((tl_target=$C157)*(tl_sub=J$4)*(tl_align="Primary"))&gt;0,"P",IF(SUMPRODUCT((tl_target=$C157)*(tl_sub=J$4))&gt;0,"S",""))</f>
        <v/>
      </c>
      <c r="K157" s="53" t="str">
        <f aca="false">IF(SUMPRODUCT((tl_target=$C157)*(tl_sub=K$4)*(tl_align="Primary"))&gt;0,"P",IF(SUMPRODUCT((tl_target=$C157)*(tl_sub=K$4))&gt;0,"S",""))</f>
        <v/>
      </c>
      <c r="L157" s="53" t="str">
        <f aca="false">IF(SUMPRODUCT((tl_target=$C157)*(tl_sub=L$4)*(tl_align="Primary"))&gt;0,"P",IF(SUMPRODUCT((tl_target=$C157)*(tl_sub=L$4))&gt;0,"S",""))</f>
        <v/>
      </c>
      <c r="M157" s="53" t="str">
        <f aca="false">IF(SUMPRODUCT((tl_target=$C157)*(tl_sub=M$4)*(tl_align="Primary"))&gt;0,"P",IF(SUMPRODUCT((tl_target=$C157)*(tl_sub=M$4))&gt;0,"S",""))</f>
        <v/>
      </c>
      <c r="N157" s="53" t="str">
        <f aca="false">IF(SUMPRODUCT((tl_target=$C157)*(tl_sub=N$4)*(tl_align="Primary"))&gt;0,"P",IF(SUMPRODUCT((tl_target=$C157)*(tl_sub=N$4))&gt;0,"S",""))</f>
        <v/>
      </c>
      <c r="O157" s="53" t="str">
        <f aca="false">IF(SUMPRODUCT((tl_target=$C157)*(tl_sub=O$4)*(tl_align="Primary"))&gt;0,"P",IF(SUMPRODUCT((tl_target=$C157)*(tl_sub=O$4))&gt;0,"S",""))</f>
        <v/>
      </c>
      <c r="P157" s="53" t="str">
        <f aca="false">IF(SUMPRODUCT((tl_target=$C157)*(tl_sub=P$4)*(tl_align="Primary"))&gt;0,"P",IF(SUMPRODUCT((tl_target=$C157)*(tl_sub=P$4))&gt;0,"S",""))</f>
        <v>S</v>
      </c>
      <c r="Q157" s="53" t="str">
        <f aca="false">IF(SUMPRODUCT((tl_target=$C157)*(tl_sub=Q$4)*(tl_align="Primary"))&gt;0,"P",IF(SUMPRODUCT((tl_target=$C157)*(tl_sub=Q$4))&gt;0,"S",""))</f>
        <v/>
      </c>
      <c r="R157" s="69" t="str">
        <f aca="false">_xlfn.TEXTJOIN(", ",TRUE(),IF(SUMPRODUCT((tl_target=$C157)*(tl_principle="PP1"))&gt;0,"PP1",""),IF(SUMPRODUCT((tl_target=$C157)*(tl_principle="PP2"))&gt;0,"PP2",""),IF(SUMPRODUCT((tl_target=$C157)*(tl_principle="PP3"))&gt;0,"PP3",""),IF(SUMPRODUCT((tl_target=$C157)*(tl_principle="PP4"))&gt;0,"PP4",""))</f>
        <v>PP4</v>
      </c>
      <c r="S157" s="9" t="n">
        <f aca="false">SUMPRODUCT(--(tl_target=$C157))</f>
        <v>1</v>
      </c>
      <c r="T157" s="53" t="str">
        <f aca="false">IF(SUMPRODUCT((tl_target=$C157)*(tl_align="Primary"))&gt;0,"Primary link",IF(S157&gt;0,"Secondary only","Gap"))</f>
        <v>Secondary only</v>
      </c>
      <c r="U157" s="66"/>
      <c r="V157" s="66"/>
      <c r="W157" s="66"/>
      <c r="X157" s="66"/>
      <c r="Y157" s="66"/>
    </row>
    <row r="158" customFormat="false" ht="46.25" hidden="false" customHeight="false" outlineLevel="0" collapsed="false">
      <c r="A158" s="19" t="n">
        <v>17</v>
      </c>
      <c r="B158" s="5" t="s">
        <v>203</v>
      </c>
      <c r="C158" s="13" t="s">
        <v>357</v>
      </c>
      <c r="D158" s="5" t="s">
        <v>499</v>
      </c>
      <c r="E158" s="5" t="s">
        <v>358</v>
      </c>
      <c r="F158" s="5" t="s">
        <v>359</v>
      </c>
      <c r="G158" s="9" t="n">
        <v>1</v>
      </c>
      <c r="H158" s="53" t="str">
        <f aca="false">IF(SUMPRODUCT((tl_target=$C158)*(tl_sub=H$4)*(tl_align="Primary"))&gt;0,"P",IF(SUMPRODUCT((tl_target=$C158)*(tl_sub=H$4))&gt;0,"S",""))</f>
        <v/>
      </c>
      <c r="I158" s="53" t="str">
        <f aca="false">IF(SUMPRODUCT((tl_target=$C158)*(tl_sub=I$4)*(tl_align="Primary"))&gt;0,"P",IF(SUMPRODUCT((tl_target=$C158)*(tl_sub=I$4))&gt;0,"S",""))</f>
        <v/>
      </c>
      <c r="J158" s="53" t="str">
        <f aca="false">IF(SUMPRODUCT((tl_target=$C158)*(tl_sub=J$4)*(tl_align="Primary"))&gt;0,"P",IF(SUMPRODUCT((tl_target=$C158)*(tl_sub=J$4))&gt;0,"S",""))</f>
        <v/>
      </c>
      <c r="K158" s="53" t="str">
        <f aca="false">IF(SUMPRODUCT((tl_target=$C158)*(tl_sub=K$4)*(tl_align="Primary"))&gt;0,"P",IF(SUMPRODUCT((tl_target=$C158)*(tl_sub=K$4))&gt;0,"S",""))</f>
        <v/>
      </c>
      <c r="L158" s="53" t="str">
        <f aca="false">IF(SUMPRODUCT((tl_target=$C158)*(tl_sub=L$4)*(tl_align="Primary"))&gt;0,"P",IF(SUMPRODUCT((tl_target=$C158)*(tl_sub=L$4))&gt;0,"S",""))</f>
        <v/>
      </c>
      <c r="M158" s="53" t="str">
        <f aca="false">IF(SUMPRODUCT((tl_target=$C158)*(tl_sub=M$4)*(tl_align="Primary"))&gt;0,"P",IF(SUMPRODUCT((tl_target=$C158)*(tl_sub=M$4))&gt;0,"S",""))</f>
        <v/>
      </c>
      <c r="N158" s="53" t="str">
        <f aca="false">IF(SUMPRODUCT((tl_target=$C158)*(tl_sub=N$4)*(tl_align="Primary"))&gt;0,"P",IF(SUMPRODUCT((tl_target=$C158)*(tl_sub=N$4))&gt;0,"S",""))</f>
        <v/>
      </c>
      <c r="O158" s="53" t="str">
        <f aca="false">IF(SUMPRODUCT((tl_target=$C158)*(tl_sub=O$4)*(tl_align="Primary"))&gt;0,"P",IF(SUMPRODUCT((tl_target=$C158)*(tl_sub=O$4))&gt;0,"S",""))</f>
        <v/>
      </c>
      <c r="P158" s="53" t="str">
        <f aca="false">IF(SUMPRODUCT((tl_target=$C158)*(tl_sub=P$4)*(tl_align="Primary"))&gt;0,"P",IF(SUMPRODUCT((tl_target=$C158)*(tl_sub=P$4))&gt;0,"S",""))</f>
        <v>S</v>
      </c>
      <c r="Q158" s="53" t="str">
        <f aca="false">IF(SUMPRODUCT((tl_target=$C158)*(tl_sub=Q$4)*(tl_align="Primary"))&gt;0,"P",IF(SUMPRODUCT((tl_target=$C158)*(tl_sub=Q$4))&gt;0,"S",""))</f>
        <v/>
      </c>
      <c r="R158" s="69" t="str">
        <f aca="false">_xlfn.TEXTJOIN(", ",TRUE(),IF(SUMPRODUCT((tl_target=$C158)*(tl_principle="PP1"))&gt;0,"PP1",""),IF(SUMPRODUCT((tl_target=$C158)*(tl_principle="PP2"))&gt;0,"PP2",""),IF(SUMPRODUCT((tl_target=$C158)*(tl_principle="PP3"))&gt;0,"PP3",""),IF(SUMPRODUCT((tl_target=$C158)*(tl_principle="PP4"))&gt;0,"PP4",""))</f>
        <v>PP4</v>
      </c>
      <c r="S158" s="9" t="n">
        <f aca="false">SUMPRODUCT(--(tl_target=$C158))</f>
        <v>1</v>
      </c>
      <c r="T158" s="53" t="str">
        <f aca="false">IF(SUMPRODUCT((tl_target=$C158)*(tl_align="Primary"))&gt;0,"Primary link",IF(S158&gt;0,"Secondary only","Gap"))</f>
        <v>Secondary only</v>
      </c>
      <c r="U158" s="66"/>
      <c r="V158" s="66"/>
      <c r="W158" s="66"/>
      <c r="X158" s="66"/>
      <c r="Y158" s="66"/>
    </row>
    <row r="159" customFormat="false" ht="23.85" hidden="false" customHeight="false" outlineLevel="0" collapsed="false">
      <c r="A159" s="19" t="n">
        <v>17</v>
      </c>
      <c r="B159" s="5" t="s">
        <v>203</v>
      </c>
      <c r="C159" s="13" t="s">
        <v>850</v>
      </c>
      <c r="D159" s="5" t="s">
        <v>499</v>
      </c>
      <c r="E159" s="5"/>
      <c r="F159" s="5" t="s">
        <v>851</v>
      </c>
      <c r="G159" s="9" t="n">
        <v>1</v>
      </c>
      <c r="H159" s="53" t="str">
        <f aca="false">IF(SUMPRODUCT((tl_target=$C159)*(tl_sub=H$4)*(tl_align="Primary"))&gt;0,"P",IF(SUMPRODUCT((tl_target=$C159)*(tl_sub=H$4))&gt;0,"S",""))</f>
        <v/>
      </c>
      <c r="I159" s="53" t="str">
        <f aca="false">IF(SUMPRODUCT((tl_target=$C159)*(tl_sub=I$4)*(tl_align="Primary"))&gt;0,"P",IF(SUMPRODUCT((tl_target=$C159)*(tl_sub=I$4))&gt;0,"S",""))</f>
        <v/>
      </c>
      <c r="J159" s="53" t="str">
        <f aca="false">IF(SUMPRODUCT((tl_target=$C159)*(tl_sub=J$4)*(tl_align="Primary"))&gt;0,"P",IF(SUMPRODUCT((tl_target=$C159)*(tl_sub=J$4))&gt;0,"S",""))</f>
        <v/>
      </c>
      <c r="K159" s="53" t="str">
        <f aca="false">IF(SUMPRODUCT((tl_target=$C159)*(tl_sub=K$4)*(tl_align="Primary"))&gt;0,"P",IF(SUMPRODUCT((tl_target=$C159)*(tl_sub=K$4))&gt;0,"S",""))</f>
        <v/>
      </c>
      <c r="L159" s="53" t="str">
        <f aca="false">IF(SUMPRODUCT((tl_target=$C159)*(tl_sub=L$4)*(tl_align="Primary"))&gt;0,"P",IF(SUMPRODUCT((tl_target=$C159)*(tl_sub=L$4))&gt;0,"S",""))</f>
        <v/>
      </c>
      <c r="M159" s="53" t="str">
        <f aca="false">IF(SUMPRODUCT((tl_target=$C159)*(tl_sub=M$4)*(tl_align="Primary"))&gt;0,"P",IF(SUMPRODUCT((tl_target=$C159)*(tl_sub=M$4))&gt;0,"S",""))</f>
        <v/>
      </c>
      <c r="N159" s="53" t="str">
        <f aca="false">IF(SUMPRODUCT((tl_target=$C159)*(tl_sub=N$4)*(tl_align="Primary"))&gt;0,"P",IF(SUMPRODUCT((tl_target=$C159)*(tl_sub=N$4))&gt;0,"S",""))</f>
        <v/>
      </c>
      <c r="O159" s="53" t="str">
        <f aca="false">IF(SUMPRODUCT((tl_target=$C159)*(tl_sub=O$4)*(tl_align="Primary"))&gt;0,"P",IF(SUMPRODUCT((tl_target=$C159)*(tl_sub=O$4))&gt;0,"S",""))</f>
        <v/>
      </c>
      <c r="P159" s="53" t="str">
        <f aca="false">IF(SUMPRODUCT((tl_target=$C159)*(tl_sub=P$4)*(tl_align="Primary"))&gt;0,"P",IF(SUMPRODUCT((tl_target=$C159)*(tl_sub=P$4))&gt;0,"S",""))</f>
        <v/>
      </c>
      <c r="Q159" s="53" t="str">
        <f aca="false">IF(SUMPRODUCT((tl_target=$C159)*(tl_sub=Q$4)*(tl_align="Primary"))&gt;0,"P",IF(SUMPRODUCT((tl_target=$C159)*(tl_sub=Q$4))&gt;0,"S",""))</f>
        <v/>
      </c>
      <c r="R159" s="69" t="str">
        <f aca="false">_xlfn.TEXTJOIN(", ",TRUE(),IF(SUMPRODUCT((tl_target=$C159)*(tl_principle="PP1"))&gt;0,"PP1",""),IF(SUMPRODUCT((tl_target=$C159)*(tl_principle="PP2"))&gt;0,"PP2",""),IF(SUMPRODUCT((tl_target=$C159)*(tl_principle="PP3"))&gt;0,"PP3",""),IF(SUMPRODUCT((tl_target=$C159)*(tl_principle="PP4"))&gt;0,"PP4",""))</f>
        <v/>
      </c>
      <c r="S159" s="9" t="n">
        <f aca="false">SUMPRODUCT(--(tl_target=$C159))</f>
        <v>0</v>
      </c>
      <c r="T159" s="53" t="str">
        <f aca="false">IF(SUMPRODUCT((tl_target=$C159)*(tl_align="Primary"))&gt;0,"Primary link",IF(S159&gt;0,"Secondary only","Gap"))</f>
        <v>Gap</v>
      </c>
      <c r="U159" s="66"/>
      <c r="V159" s="66"/>
      <c r="W159" s="66"/>
      <c r="X159" s="66"/>
      <c r="Y159" s="66"/>
    </row>
    <row r="160" customFormat="false" ht="57.45" hidden="false" customHeight="false" outlineLevel="0" collapsed="false">
      <c r="A160" s="19" t="n">
        <v>17</v>
      </c>
      <c r="B160" s="5" t="s">
        <v>203</v>
      </c>
      <c r="C160" s="13" t="s">
        <v>852</v>
      </c>
      <c r="D160" s="5" t="s">
        <v>499</v>
      </c>
      <c r="E160" s="5"/>
      <c r="F160" s="5" t="s">
        <v>853</v>
      </c>
      <c r="G160" s="9" t="n">
        <v>1</v>
      </c>
      <c r="H160" s="53" t="str">
        <f aca="false">IF(SUMPRODUCT((tl_target=$C160)*(tl_sub=H$4)*(tl_align="Primary"))&gt;0,"P",IF(SUMPRODUCT((tl_target=$C160)*(tl_sub=H$4))&gt;0,"S",""))</f>
        <v/>
      </c>
      <c r="I160" s="53" t="str">
        <f aca="false">IF(SUMPRODUCT((tl_target=$C160)*(tl_sub=I$4)*(tl_align="Primary"))&gt;0,"P",IF(SUMPRODUCT((tl_target=$C160)*(tl_sub=I$4))&gt;0,"S",""))</f>
        <v/>
      </c>
      <c r="J160" s="53" t="str">
        <f aca="false">IF(SUMPRODUCT((tl_target=$C160)*(tl_sub=J$4)*(tl_align="Primary"))&gt;0,"P",IF(SUMPRODUCT((tl_target=$C160)*(tl_sub=J$4))&gt;0,"S",""))</f>
        <v/>
      </c>
      <c r="K160" s="53" t="str">
        <f aca="false">IF(SUMPRODUCT((tl_target=$C160)*(tl_sub=K$4)*(tl_align="Primary"))&gt;0,"P",IF(SUMPRODUCT((tl_target=$C160)*(tl_sub=K$4))&gt;0,"S",""))</f>
        <v/>
      </c>
      <c r="L160" s="53" t="str">
        <f aca="false">IF(SUMPRODUCT((tl_target=$C160)*(tl_sub=L$4)*(tl_align="Primary"))&gt;0,"P",IF(SUMPRODUCT((tl_target=$C160)*(tl_sub=L$4))&gt;0,"S",""))</f>
        <v/>
      </c>
      <c r="M160" s="53" t="str">
        <f aca="false">IF(SUMPRODUCT((tl_target=$C160)*(tl_sub=M$4)*(tl_align="Primary"))&gt;0,"P",IF(SUMPRODUCT((tl_target=$C160)*(tl_sub=M$4))&gt;0,"S",""))</f>
        <v/>
      </c>
      <c r="N160" s="53" t="str">
        <f aca="false">IF(SUMPRODUCT((tl_target=$C160)*(tl_sub=N$4)*(tl_align="Primary"))&gt;0,"P",IF(SUMPRODUCT((tl_target=$C160)*(tl_sub=N$4))&gt;0,"S",""))</f>
        <v/>
      </c>
      <c r="O160" s="53" t="str">
        <f aca="false">IF(SUMPRODUCT((tl_target=$C160)*(tl_sub=O$4)*(tl_align="Primary"))&gt;0,"P",IF(SUMPRODUCT((tl_target=$C160)*(tl_sub=O$4))&gt;0,"S",""))</f>
        <v/>
      </c>
      <c r="P160" s="53" t="str">
        <f aca="false">IF(SUMPRODUCT((tl_target=$C160)*(tl_sub=P$4)*(tl_align="Primary"))&gt;0,"P",IF(SUMPRODUCT((tl_target=$C160)*(tl_sub=P$4))&gt;0,"S",""))</f>
        <v/>
      </c>
      <c r="Q160" s="53" t="str">
        <f aca="false">IF(SUMPRODUCT((tl_target=$C160)*(tl_sub=Q$4)*(tl_align="Primary"))&gt;0,"P",IF(SUMPRODUCT((tl_target=$C160)*(tl_sub=Q$4))&gt;0,"S",""))</f>
        <v/>
      </c>
      <c r="R160" s="69" t="str">
        <f aca="false">_xlfn.TEXTJOIN(", ",TRUE(),IF(SUMPRODUCT((tl_target=$C160)*(tl_principle="PP1"))&gt;0,"PP1",""),IF(SUMPRODUCT((tl_target=$C160)*(tl_principle="PP2"))&gt;0,"PP2",""),IF(SUMPRODUCT((tl_target=$C160)*(tl_principle="PP3"))&gt;0,"PP3",""),IF(SUMPRODUCT((tl_target=$C160)*(tl_principle="PP4"))&gt;0,"PP4",""))</f>
        <v/>
      </c>
      <c r="S160" s="9" t="n">
        <f aca="false">SUMPRODUCT(--(tl_target=$C160))</f>
        <v>0</v>
      </c>
      <c r="T160" s="53" t="str">
        <f aca="false">IF(SUMPRODUCT((tl_target=$C160)*(tl_align="Primary"))&gt;0,"Primary link",IF(S160&gt;0,"Secondary only","Gap"))</f>
        <v>Gap</v>
      </c>
      <c r="U160" s="66"/>
      <c r="V160" s="66"/>
      <c r="W160" s="66"/>
      <c r="X160" s="66"/>
      <c r="Y160" s="66"/>
    </row>
    <row r="161" customFormat="false" ht="35.05" hidden="false" customHeight="false" outlineLevel="0" collapsed="false">
      <c r="A161" s="19" t="n">
        <v>17</v>
      </c>
      <c r="B161" s="5" t="s">
        <v>203</v>
      </c>
      <c r="C161" s="13" t="s">
        <v>854</v>
      </c>
      <c r="D161" s="5" t="s">
        <v>499</v>
      </c>
      <c r="E161" s="5"/>
      <c r="F161" s="5" t="s">
        <v>855</v>
      </c>
      <c r="G161" s="9" t="n">
        <v>1</v>
      </c>
      <c r="H161" s="53" t="str">
        <f aca="false">IF(SUMPRODUCT((tl_target=$C161)*(tl_sub=H$4)*(tl_align="Primary"))&gt;0,"P",IF(SUMPRODUCT((tl_target=$C161)*(tl_sub=H$4))&gt;0,"S",""))</f>
        <v/>
      </c>
      <c r="I161" s="53" t="str">
        <f aca="false">IF(SUMPRODUCT((tl_target=$C161)*(tl_sub=I$4)*(tl_align="Primary"))&gt;0,"P",IF(SUMPRODUCT((tl_target=$C161)*(tl_sub=I$4))&gt;0,"S",""))</f>
        <v/>
      </c>
      <c r="J161" s="53" t="str">
        <f aca="false">IF(SUMPRODUCT((tl_target=$C161)*(tl_sub=J$4)*(tl_align="Primary"))&gt;0,"P",IF(SUMPRODUCT((tl_target=$C161)*(tl_sub=J$4))&gt;0,"S",""))</f>
        <v/>
      </c>
      <c r="K161" s="53" t="str">
        <f aca="false">IF(SUMPRODUCT((tl_target=$C161)*(tl_sub=K$4)*(tl_align="Primary"))&gt;0,"P",IF(SUMPRODUCT((tl_target=$C161)*(tl_sub=K$4))&gt;0,"S",""))</f>
        <v/>
      </c>
      <c r="L161" s="53" t="str">
        <f aca="false">IF(SUMPRODUCT((tl_target=$C161)*(tl_sub=L$4)*(tl_align="Primary"))&gt;0,"P",IF(SUMPRODUCT((tl_target=$C161)*(tl_sub=L$4))&gt;0,"S",""))</f>
        <v/>
      </c>
      <c r="M161" s="53" t="str">
        <f aca="false">IF(SUMPRODUCT((tl_target=$C161)*(tl_sub=M$4)*(tl_align="Primary"))&gt;0,"P",IF(SUMPRODUCT((tl_target=$C161)*(tl_sub=M$4))&gt;0,"S",""))</f>
        <v/>
      </c>
      <c r="N161" s="53" t="str">
        <f aca="false">IF(SUMPRODUCT((tl_target=$C161)*(tl_sub=N$4)*(tl_align="Primary"))&gt;0,"P",IF(SUMPRODUCT((tl_target=$C161)*(tl_sub=N$4))&gt;0,"S",""))</f>
        <v/>
      </c>
      <c r="O161" s="53" t="str">
        <f aca="false">IF(SUMPRODUCT((tl_target=$C161)*(tl_sub=O$4)*(tl_align="Primary"))&gt;0,"P",IF(SUMPRODUCT((tl_target=$C161)*(tl_sub=O$4))&gt;0,"S",""))</f>
        <v/>
      </c>
      <c r="P161" s="53" t="str">
        <f aca="false">IF(SUMPRODUCT((tl_target=$C161)*(tl_sub=P$4)*(tl_align="Primary"))&gt;0,"P",IF(SUMPRODUCT((tl_target=$C161)*(tl_sub=P$4))&gt;0,"S",""))</f>
        <v/>
      </c>
      <c r="Q161" s="53" t="str">
        <f aca="false">IF(SUMPRODUCT((tl_target=$C161)*(tl_sub=Q$4)*(tl_align="Primary"))&gt;0,"P",IF(SUMPRODUCT((tl_target=$C161)*(tl_sub=Q$4))&gt;0,"S",""))</f>
        <v/>
      </c>
      <c r="R161" s="69" t="str">
        <f aca="false">_xlfn.TEXTJOIN(", ",TRUE(),IF(SUMPRODUCT((tl_target=$C161)*(tl_principle="PP1"))&gt;0,"PP1",""),IF(SUMPRODUCT((tl_target=$C161)*(tl_principle="PP2"))&gt;0,"PP2",""),IF(SUMPRODUCT((tl_target=$C161)*(tl_principle="PP3"))&gt;0,"PP3",""),IF(SUMPRODUCT((tl_target=$C161)*(tl_principle="PP4"))&gt;0,"PP4",""))</f>
        <v/>
      </c>
      <c r="S161" s="9" t="n">
        <f aca="false">SUMPRODUCT(--(tl_target=$C161))</f>
        <v>0</v>
      </c>
      <c r="T161" s="53" t="str">
        <f aca="false">IF(SUMPRODUCT((tl_target=$C161)*(tl_align="Primary"))&gt;0,"Primary link",IF(S161&gt;0,"Secondary only","Gap"))</f>
        <v>Gap</v>
      </c>
      <c r="U161" s="66"/>
      <c r="V161" s="66"/>
      <c r="W161" s="66"/>
      <c r="X161" s="66"/>
      <c r="Y161" s="66"/>
    </row>
    <row r="162" customFormat="false" ht="46.25" hidden="false" customHeight="false" outlineLevel="0" collapsed="false">
      <c r="A162" s="19" t="n">
        <v>17</v>
      </c>
      <c r="B162" s="5" t="s">
        <v>203</v>
      </c>
      <c r="C162" s="13" t="s">
        <v>204</v>
      </c>
      <c r="D162" s="5" t="s">
        <v>499</v>
      </c>
      <c r="E162" s="5" t="s">
        <v>205</v>
      </c>
      <c r="F162" s="5" t="s">
        <v>206</v>
      </c>
      <c r="G162" s="9" t="n">
        <v>1</v>
      </c>
      <c r="H162" s="53" t="str">
        <f aca="false">IF(SUMPRODUCT((tl_target=$C162)*(tl_sub=H$4)*(tl_align="Primary"))&gt;0,"P",IF(SUMPRODUCT((tl_target=$C162)*(tl_sub=H$4))&gt;0,"S",""))</f>
        <v/>
      </c>
      <c r="I162" s="53" t="str">
        <f aca="false">IF(SUMPRODUCT((tl_target=$C162)*(tl_sub=I$4)*(tl_align="Primary"))&gt;0,"P",IF(SUMPRODUCT((tl_target=$C162)*(tl_sub=I$4))&gt;0,"S",""))</f>
        <v>S</v>
      </c>
      <c r="J162" s="53" t="str">
        <f aca="false">IF(SUMPRODUCT((tl_target=$C162)*(tl_sub=J$4)*(tl_align="Primary"))&gt;0,"P",IF(SUMPRODUCT((tl_target=$C162)*(tl_sub=J$4))&gt;0,"S",""))</f>
        <v/>
      </c>
      <c r="K162" s="53" t="str">
        <f aca="false">IF(SUMPRODUCT((tl_target=$C162)*(tl_sub=K$4)*(tl_align="Primary"))&gt;0,"P",IF(SUMPRODUCT((tl_target=$C162)*(tl_sub=K$4))&gt;0,"S",""))</f>
        <v/>
      </c>
      <c r="L162" s="53" t="str">
        <f aca="false">IF(SUMPRODUCT((tl_target=$C162)*(tl_sub=L$4)*(tl_align="Primary"))&gt;0,"P",IF(SUMPRODUCT((tl_target=$C162)*(tl_sub=L$4))&gt;0,"S",""))</f>
        <v/>
      </c>
      <c r="M162" s="53" t="str">
        <f aca="false">IF(SUMPRODUCT((tl_target=$C162)*(tl_sub=M$4)*(tl_align="Primary"))&gt;0,"P",IF(SUMPRODUCT((tl_target=$C162)*(tl_sub=M$4))&gt;0,"S",""))</f>
        <v/>
      </c>
      <c r="N162" s="53" t="str">
        <f aca="false">IF(SUMPRODUCT((tl_target=$C162)*(tl_sub=N$4)*(tl_align="Primary"))&gt;0,"P",IF(SUMPRODUCT((tl_target=$C162)*(tl_sub=N$4))&gt;0,"S",""))</f>
        <v/>
      </c>
      <c r="O162" s="53" t="str">
        <f aca="false">IF(SUMPRODUCT((tl_target=$C162)*(tl_sub=O$4)*(tl_align="Primary"))&gt;0,"P",IF(SUMPRODUCT((tl_target=$C162)*(tl_sub=O$4))&gt;0,"S",""))</f>
        <v/>
      </c>
      <c r="P162" s="53" t="str">
        <f aca="false">IF(SUMPRODUCT((tl_target=$C162)*(tl_sub=P$4)*(tl_align="Primary"))&gt;0,"P",IF(SUMPRODUCT((tl_target=$C162)*(tl_sub=P$4))&gt;0,"S",""))</f>
        <v/>
      </c>
      <c r="Q162" s="53" t="str">
        <f aca="false">IF(SUMPRODUCT((tl_target=$C162)*(tl_sub=Q$4)*(tl_align="Primary"))&gt;0,"P",IF(SUMPRODUCT((tl_target=$C162)*(tl_sub=Q$4))&gt;0,"S",""))</f>
        <v/>
      </c>
      <c r="R162" s="69" t="str">
        <f aca="false">_xlfn.TEXTJOIN(", ",TRUE(),IF(SUMPRODUCT((tl_target=$C162)*(tl_principle="PP1"))&gt;0,"PP1",""),IF(SUMPRODUCT((tl_target=$C162)*(tl_principle="PP2"))&gt;0,"PP2",""),IF(SUMPRODUCT((tl_target=$C162)*(tl_principle="PP3"))&gt;0,"PP3",""),IF(SUMPRODUCT((tl_target=$C162)*(tl_principle="PP4"))&gt;0,"PP4",""))</f>
        <v>PP1</v>
      </c>
      <c r="S162" s="9" t="n">
        <f aca="false">SUMPRODUCT(--(tl_target=$C162))</f>
        <v>1</v>
      </c>
      <c r="T162" s="53" t="str">
        <f aca="false">IF(SUMPRODUCT((tl_target=$C162)*(tl_align="Primary"))&gt;0,"Primary link",IF(S162&gt;0,"Secondary only","Gap"))</f>
        <v>Secondary only</v>
      </c>
      <c r="U162" s="66"/>
      <c r="V162" s="66"/>
      <c r="W162" s="66"/>
      <c r="X162" s="66"/>
      <c r="Y162" s="66"/>
    </row>
    <row r="163" customFormat="false" ht="46.25" hidden="false" customHeight="false" outlineLevel="0" collapsed="false">
      <c r="A163" s="19" t="n">
        <v>17</v>
      </c>
      <c r="B163" s="5" t="s">
        <v>203</v>
      </c>
      <c r="C163" s="13" t="s">
        <v>856</v>
      </c>
      <c r="D163" s="5" t="s">
        <v>499</v>
      </c>
      <c r="E163" s="5"/>
      <c r="F163" s="5" t="s">
        <v>857</v>
      </c>
      <c r="G163" s="9" t="n">
        <v>1</v>
      </c>
      <c r="H163" s="53" t="str">
        <f aca="false">IF(SUMPRODUCT((tl_target=$C163)*(tl_sub=H$4)*(tl_align="Primary"))&gt;0,"P",IF(SUMPRODUCT((tl_target=$C163)*(tl_sub=H$4))&gt;0,"S",""))</f>
        <v/>
      </c>
      <c r="I163" s="53" t="str">
        <f aca="false">IF(SUMPRODUCT((tl_target=$C163)*(tl_sub=I$4)*(tl_align="Primary"))&gt;0,"P",IF(SUMPRODUCT((tl_target=$C163)*(tl_sub=I$4))&gt;0,"S",""))</f>
        <v/>
      </c>
      <c r="J163" s="53" t="str">
        <f aca="false">IF(SUMPRODUCT((tl_target=$C163)*(tl_sub=J$4)*(tl_align="Primary"))&gt;0,"P",IF(SUMPRODUCT((tl_target=$C163)*(tl_sub=J$4))&gt;0,"S",""))</f>
        <v/>
      </c>
      <c r="K163" s="53" t="str">
        <f aca="false">IF(SUMPRODUCT((tl_target=$C163)*(tl_sub=K$4)*(tl_align="Primary"))&gt;0,"P",IF(SUMPRODUCT((tl_target=$C163)*(tl_sub=K$4))&gt;0,"S",""))</f>
        <v/>
      </c>
      <c r="L163" s="53" t="str">
        <f aca="false">IF(SUMPRODUCT((tl_target=$C163)*(tl_sub=L$4)*(tl_align="Primary"))&gt;0,"P",IF(SUMPRODUCT((tl_target=$C163)*(tl_sub=L$4))&gt;0,"S",""))</f>
        <v/>
      </c>
      <c r="M163" s="53" t="str">
        <f aca="false">IF(SUMPRODUCT((tl_target=$C163)*(tl_sub=M$4)*(tl_align="Primary"))&gt;0,"P",IF(SUMPRODUCT((tl_target=$C163)*(tl_sub=M$4))&gt;0,"S",""))</f>
        <v/>
      </c>
      <c r="N163" s="53" t="str">
        <f aca="false">IF(SUMPRODUCT((tl_target=$C163)*(tl_sub=N$4)*(tl_align="Primary"))&gt;0,"P",IF(SUMPRODUCT((tl_target=$C163)*(tl_sub=N$4))&gt;0,"S",""))</f>
        <v/>
      </c>
      <c r="O163" s="53" t="str">
        <f aca="false">IF(SUMPRODUCT((tl_target=$C163)*(tl_sub=O$4)*(tl_align="Primary"))&gt;0,"P",IF(SUMPRODUCT((tl_target=$C163)*(tl_sub=O$4))&gt;0,"S",""))</f>
        <v/>
      </c>
      <c r="P163" s="53" t="str">
        <f aca="false">IF(SUMPRODUCT((tl_target=$C163)*(tl_sub=P$4)*(tl_align="Primary"))&gt;0,"P",IF(SUMPRODUCT((tl_target=$C163)*(tl_sub=P$4))&gt;0,"S",""))</f>
        <v/>
      </c>
      <c r="Q163" s="53" t="str">
        <f aca="false">IF(SUMPRODUCT((tl_target=$C163)*(tl_sub=Q$4)*(tl_align="Primary"))&gt;0,"P",IF(SUMPRODUCT((tl_target=$C163)*(tl_sub=Q$4))&gt;0,"S",""))</f>
        <v/>
      </c>
      <c r="R163" s="69" t="str">
        <f aca="false">_xlfn.TEXTJOIN(", ",TRUE(),IF(SUMPRODUCT((tl_target=$C163)*(tl_principle="PP1"))&gt;0,"PP1",""),IF(SUMPRODUCT((tl_target=$C163)*(tl_principle="PP2"))&gt;0,"PP2",""),IF(SUMPRODUCT((tl_target=$C163)*(tl_principle="PP3"))&gt;0,"PP3",""),IF(SUMPRODUCT((tl_target=$C163)*(tl_principle="PP4"))&gt;0,"PP4",""))</f>
        <v/>
      </c>
      <c r="S163" s="9" t="n">
        <f aca="false">SUMPRODUCT(--(tl_target=$C163))</f>
        <v>0</v>
      </c>
      <c r="T163" s="53" t="str">
        <f aca="false">IF(SUMPRODUCT((tl_target=$C163)*(tl_align="Primary"))&gt;0,"Primary link",IF(S163&gt;0,"Secondary only","Gap"))</f>
        <v>Gap</v>
      </c>
      <c r="U163" s="66"/>
      <c r="V163" s="66"/>
      <c r="W163" s="66"/>
      <c r="X163" s="66"/>
      <c r="Y163" s="66"/>
    </row>
    <row r="164" customFormat="false" ht="35.05" hidden="false" customHeight="false" outlineLevel="0" collapsed="false">
      <c r="A164" s="19" t="n">
        <v>17</v>
      </c>
      <c r="B164" s="5" t="s">
        <v>203</v>
      </c>
      <c r="C164" s="13" t="s">
        <v>858</v>
      </c>
      <c r="D164" s="5" t="s">
        <v>499</v>
      </c>
      <c r="E164" s="5"/>
      <c r="F164" s="5" t="s">
        <v>859</v>
      </c>
      <c r="G164" s="9" t="n">
        <v>1</v>
      </c>
      <c r="H164" s="53" t="str">
        <f aca="false">IF(SUMPRODUCT((tl_target=$C164)*(tl_sub=H$4)*(tl_align="Primary"))&gt;0,"P",IF(SUMPRODUCT((tl_target=$C164)*(tl_sub=H$4))&gt;0,"S",""))</f>
        <v/>
      </c>
      <c r="I164" s="53" t="str">
        <f aca="false">IF(SUMPRODUCT((tl_target=$C164)*(tl_sub=I$4)*(tl_align="Primary"))&gt;0,"P",IF(SUMPRODUCT((tl_target=$C164)*(tl_sub=I$4))&gt;0,"S",""))</f>
        <v/>
      </c>
      <c r="J164" s="53" t="str">
        <f aca="false">IF(SUMPRODUCT((tl_target=$C164)*(tl_sub=J$4)*(tl_align="Primary"))&gt;0,"P",IF(SUMPRODUCT((tl_target=$C164)*(tl_sub=J$4))&gt;0,"S",""))</f>
        <v/>
      </c>
      <c r="K164" s="53" t="str">
        <f aca="false">IF(SUMPRODUCT((tl_target=$C164)*(tl_sub=K$4)*(tl_align="Primary"))&gt;0,"P",IF(SUMPRODUCT((tl_target=$C164)*(tl_sub=K$4))&gt;0,"S",""))</f>
        <v/>
      </c>
      <c r="L164" s="53" t="str">
        <f aca="false">IF(SUMPRODUCT((tl_target=$C164)*(tl_sub=L$4)*(tl_align="Primary"))&gt;0,"P",IF(SUMPRODUCT((tl_target=$C164)*(tl_sub=L$4))&gt;0,"S",""))</f>
        <v/>
      </c>
      <c r="M164" s="53" t="str">
        <f aca="false">IF(SUMPRODUCT((tl_target=$C164)*(tl_sub=M$4)*(tl_align="Primary"))&gt;0,"P",IF(SUMPRODUCT((tl_target=$C164)*(tl_sub=M$4))&gt;0,"S",""))</f>
        <v/>
      </c>
      <c r="N164" s="53" t="str">
        <f aca="false">IF(SUMPRODUCT((tl_target=$C164)*(tl_sub=N$4)*(tl_align="Primary"))&gt;0,"P",IF(SUMPRODUCT((tl_target=$C164)*(tl_sub=N$4))&gt;0,"S",""))</f>
        <v/>
      </c>
      <c r="O164" s="53" t="str">
        <f aca="false">IF(SUMPRODUCT((tl_target=$C164)*(tl_sub=O$4)*(tl_align="Primary"))&gt;0,"P",IF(SUMPRODUCT((tl_target=$C164)*(tl_sub=O$4))&gt;0,"S",""))</f>
        <v/>
      </c>
      <c r="P164" s="53" t="str">
        <f aca="false">IF(SUMPRODUCT((tl_target=$C164)*(tl_sub=P$4)*(tl_align="Primary"))&gt;0,"P",IF(SUMPRODUCT((tl_target=$C164)*(tl_sub=P$4))&gt;0,"S",""))</f>
        <v/>
      </c>
      <c r="Q164" s="53" t="str">
        <f aca="false">IF(SUMPRODUCT((tl_target=$C164)*(tl_sub=Q$4)*(tl_align="Primary"))&gt;0,"P",IF(SUMPRODUCT((tl_target=$C164)*(tl_sub=Q$4))&gt;0,"S",""))</f>
        <v/>
      </c>
      <c r="R164" s="69" t="str">
        <f aca="false">_xlfn.TEXTJOIN(", ",TRUE(),IF(SUMPRODUCT((tl_target=$C164)*(tl_principle="PP1"))&gt;0,"PP1",""),IF(SUMPRODUCT((tl_target=$C164)*(tl_principle="PP2"))&gt;0,"PP2",""),IF(SUMPRODUCT((tl_target=$C164)*(tl_principle="PP3"))&gt;0,"PP3",""),IF(SUMPRODUCT((tl_target=$C164)*(tl_principle="PP4"))&gt;0,"PP4",""))</f>
        <v/>
      </c>
      <c r="S164" s="9" t="n">
        <f aca="false">SUMPRODUCT(--(tl_target=$C164))</f>
        <v>0</v>
      </c>
      <c r="T164" s="53" t="str">
        <f aca="false">IF(SUMPRODUCT((tl_target=$C164)*(tl_align="Primary"))&gt;0,"Primary link",IF(S164&gt;0,"Secondary only","Gap"))</f>
        <v>Gap</v>
      </c>
      <c r="U164" s="66"/>
      <c r="V164" s="66"/>
      <c r="W164" s="66"/>
      <c r="X164" s="66"/>
      <c r="Y164" s="66"/>
    </row>
    <row r="165" customFormat="false" ht="23.85" hidden="false" customHeight="false" outlineLevel="0" collapsed="false">
      <c r="A165" s="19" t="n">
        <v>17</v>
      </c>
      <c r="B165" s="5" t="s">
        <v>203</v>
      </c>
      <c r="C165" s="13" t="s">
        <v>860</v>
      </c>
      <c r="D165" s="5" t="s">
        <v>499</v>
      </c>
      <c r="E165" s="5"/>
      <c r="F165" s="5" t="s">
        <v>861</v>
      </c>
      <c r="G165" s="9" t="n">
        <v>1</v>
      </c>
      <c r="H165" s="53" t="str">
        <f aca="false">IF(SUMPRODUCT((tl_target=$C165)*(tl_sub=H$4)*(tl_align="Primary"))&gt;0,"P",IF(SUMPRODUCT((tl_target=$C165)*(tl_sub=H$4))&gt;0,"S",""))</f>
        <v/>
      </c>
      <c r="I165" s="53" t="str">
        <f aca="false">IF(SUMPRODUCT((tl_target=$C165)*(tl_sub=I$4)*(tl_align="Primary"))&gt;0,"P",IF(SUMPRODUCT((tl_target=$C165)*(tl_sub=I$4))&gt;0,"S",""))</f>
        <v/>
      </c>
      <c r="J165" s="53" t="str">
        <f aca="false">IF(SUMPRODUCT((tl_target=$C165)*(tl_sub=J$4)*(tl_align="Primary"))&gt;0,"P",IF(SUMPRODUCT((tl_target=$C165)*(tl_sub=J$4))&gt;0,"S",""))</f>
        <v/>
      </c>
      <c r="K165" s="53" t="str">
        <f aca="false">IF(SUMPRODUCT((tl_target=$C165)*(tl_sub=K$4)*(tl_align="Primary"))&gt;0,"P",IF(SUMPRODUCT((tl_target=$C165)*(tl_sub=K$4))&gt;0,"S",""))</f>
        <v/>
      </c>
      <c r="L165" s="53" t="str">
        <f aca="false">IF(SUMPRODUCT((tl_target=$C165)*(tl_sub=L$4)*(tl_align="Primary"))&gt;0,"P",IF(SUMPRODUCT((tl_target=$C165)*(tl_sub=L$4))&gt;0,"S",""))</f>
        <v/>
      </c>
      <c r="M165" s="53" t="str">
        <f aca="false">IF(SUMPRODUCT((tl_target=$C165)*(tl_sub=M$4)*(tl_align="Primary"))&gt;0,"P",IF(SUMPRODUCT((tl_target=$C165)*(tl_sub=M$4))&gt;0,"S",""))</f>
        <v/>
      </c>
      <c r="N165" s="53" t="str">
        <f aca="false">IF(SUMPRODUCT((tl_target=$C165)*(tl_sub=N$4)*(tl_align="Primary"))&gt;0,"P",IF(SUMPRODUCT((tl_target=$C165)*(tl_sub=N$4))&gt;0,"S",""))</f>
        <v/>
      </c>
      <c r="O165" s="53" t="str">
        <f aca="false">IF(SUMPRODUCT((tl_target=$C165)*(tl_sub=O$4)*(tl_align="Primary"))&gt;0,"P",IF(SUMPRODUCT((tl_target=$C165)*(tl_sub=O$4))&gt;0,"S",""))</f>
        <v/>
      </c>
      <c r="P165" s="53" t="str">
        <f aca="false">IF(SUMPRODUCT((tl_target=$C165)*(tl_sub=P$4)*(tl_align="Primary"))&gt;0,"P",IF(SUMPRODUCT((tl_target=$C165)*(tl_sub=P$4))&gt;0,"S",""))</f>
        <v/>
      </c>
      <c r="Q165" s="53" t="str">
        <f aca="false">IF(SUMPRODUCT((tl_target=$C165)*(tl_sub=Q$4)*(tl_align="Primary"))&gt;0,"P",IF(SUMPRODUCT((tl_target=$C165)*(tl_sub=Q$4))&gt;0,"S",""))</f>
        <v/>
      </c>
      <c r="R165" s="69" t="str">
        <f aca="false">_xlfn.TEXTJOIN(", ",TRUE(),IF(SUMPRODUCT((tl_target=$C165)*(tl_principle="PP1"))&gt;0,"PP1",""),IF(SUMPRODUCT((tl_target=$C165)*(tl_principle="PP2"))&gt;0,"PP2",""),IF(SUMPRODUCT((tl_target=$C165)*(tl_principle="PP3"))&gt;0,"PP3",""),IF(SUMPRODUCT((tl_target=$C165)*(tl_principle="PP4"))&gt;0,"PP4",""))</f>
        <v/>
      </c>
      <c r="S165" s="9" t="n">
        <f aca="false">SUMPRODUCT(--(tl_target=$C165))</f>
        <v>0</v>
      </c>
      <c r="T165" s="53" t="str">
        <f aca="false">IF(SUMPRODUCT((tl_target=$C165)*(tl_align="Primary"))&gt;0,"Primary link",IF(S165&gt;0,"Secondary only","Gap"))</f>
        <v>Gap</v>
      </c>
      <c r="U165" s="66"/>
      <c r="V165" s="66"/>
      <c r="W165" s="66"/>
      <c r="X165" s="66"/>
      <c r="Y165" s="66"/>
    </row>
    <row r="166" customFormat="false" ht="57.45" hidden="false" customHeight="false" outlineLevel="0" collapsed="false">
      <c r="A166" s="19" t="n">
        <v>17</v>
      </c>
      <c r="B166" s="5" t="s">
        <v>203</v>
      </c>
      <c r="C166" s="13" t="s">
        <v>862</v>
      </c>
      <c r="D166" s="5" t="s">
        <v>499</v>
      </c>
      <c r="E166" s="5"/>
      <c r="F166" s="5" t="s">
        <v>863</v>
      </c>
      <c r="G166" s="9" t="n">
        <v>1</v>
      </c>
      <c r="H166" s="53" t="str">
        <f aca="false">IF(SUMPRODUCT((tl_target=$C166)*(tl_sub=H$4)*(tl_align="Primary"))&gt;0,"P",IF(SUMPRODUCT((tl_target=$C166)*(tl_sub=H$4))&gt;0,"S",""))</f>
        <v/>
      </c>
      <c r="I166" s="53" t="str">
        <f aca="false">IF(SUMPRODUCT((tl_target=$C166)*(tl_sub=I$4)*(tl_align="Primary"))&gt;0,"P",IF(SUMPRODUCT((tl_target=$C166)*(tl_sub=I$4))&gt;0,"S",""))</f>
        <v/>
      </c>
      <c r="J166" s="53" t="str">
        <f aca="false">IF(SUMPRODUCT((tl_target=$C166)*(tl_sub=J$4)*(tl_align="Primary"))&gt;0,"P",IF(SUMPRODUCT((tl_target=$C166)*(tl_sub=J$4))&gt;0,"S",""))</f>
        <v/>
      </c>
      <c r="K166" s="53" t="str">
        <f aca="false">IF(SUMPRODUCT((tl_target=$C166)*(tl_sub=K$4)*(tl_align="Primary"))&gt;0,"P",IF(SUMPRODUCT((tl_target=$C166)*(tl_sub=K$4))&gt;0,"S",""))</f>
        <v/>
      </c>
      <c r="L166" s="53" t="str">
        <f aca="false">IF(SUMPRODUCT((tl_target=$C166)*(tl_sub=L$4)*(tl_align="Primary"))&gt;0,"P",IF(SUMPRODUCT((tl_target=$C166)*(tl_sub=L$4))&gt;0,"S",""))</f>
        <v/>
      </c>
      <c r="M166" s="53" t="str">
        <f aca="false">IF(SUMPRODUCT((tl_target=$C166)*(tl_sub=M$4)*(tl_align="Primary"))&gt;0,"P",IF(SUMPRODUCT((tl_target=$C166)*(tl_sub=M$4))&gt;0,"S",""))</f>
        <v/>
      </c>
      <c r="N166" s="53" t="str">
        <f aca="false">IF(SUMPRODUCT((tl_target=$C166)*(tl_sub=N$4)*(tl_align="Primary"))&gt;0,"P",IF(SUMPRODUCT((tl_target=$C166)*(tl_sub=N$4))&gt;0,"S",""))</f>
        <v/>
      </c>
      <c r="O166" s="53" t="str">
        <f aca="false">IF(SUMPRODUCT((tl_target=$C166)*(tl_sub=O$4)*(tl_align="Primary"))&gt;0,"P",IF(SUMPRODUCT((tl_target=$C166)*(tl_sub=O$4))&gt;0,"S",""))</f>
        <v/>
      </c>
      <c r="P166" s="53" t="str">
        <f aca="false">IF(SUMPRODUCT((tl_target=$C166)*(tl_sub=P$4)*(tl_align="Primary"))&gt;0,"P",IF(SUMPRODUCT((tl_target=$C166)*(tl_sub=P$4))&gt;0,"S",""))</f>
        <v/>
      </c>
      <c r="Q166" s="53" t="str">
        <f aca="false">IF(SUMPRODUCT((tl_target=$C166)*(tl_sub=Q$4)*(tl_align="Primary"))&gt;0,"P",IF(SUMPRODUCT((tl_target=$C166)*(tl_sub=Q$4))&gt;0,"S",""))</f>
        <v/>
      </c>
      <c r="R166" s="69" t="str">
        <f aca="false">_xlfn.TEXTJOIN(", ",TRUE(),IF(SUMPRODUCT((tl_target=$C166)*(tl_principle="PP1"))&gt;0,"PP1",""),IF(SUMPRODUCT((tl_target=$C166)*(tl_principle="PP2"))&gt;0,"PP2",""),IF(SUMPRODUCT((tl_target=$C166)*(tl_principle="PP3"))&gt;0,"PP3",""),IF(SUMPRODUCT((tl_target=$C166)*(tl_principle="PP4"))&gt;0,"PP4",""))</f>
        <v/>
      </c>
      <c r="S166" s="9" t="n">
        <f aca="false">SUMPRODUCT(--(tl_target=$C166))</f>
        <v>0</v>
      </c>
      <c r="T166" s="53" t="str">
        <f aca="false">IF(SUMPRODUCT((tl_target=$C166)*(tl_align="Primary"))&gt;0,"Primary link",IF(S166&gt;0,"Secondary only","Gap"))</f>
        <v>Gap</v>
      </c>
      <c r="U166" s="66"/>
      <c r="V166" s="66"/>
      <c r="W166" s="66"/>
      <c r="X166" s="66"/>
      <c r="Y166" s="66"/>
    </row>
    <row r="167" customFormat="false" ht="23.85" hidden="false" customHeight="false" outlineLevel="0" collapsed="false">
      <c r="A167" s="19" t="n">
        <v>17</v>
      </c>
      <c r="B167" s="5" t="s">
        <v>203</v>
      </c>
      <c r="C167" s="13" t="s">
        <v>864</v>
      </c>
      <c r="D167" s="5" t="s">
        <v>499</v>
      </c>
      <c r="E167" s="5"/>
      <c r="F167" s="5" t="s">
        <v>865</v>
      </c>
      <c r="G167" s="9" t="n">
        <v>1</v>
      </c>
      <c r="H167" s="53" t="str">
        <f aca="false">IF(SUMPRODUCT((tl_target=$C167)*(tl_sub=H$4)*(tl_align="Primary"))&gt;0,"P",IF(SUMPRODUCT((tl_target=$C167)*(tl_sub=H$4))&gt;0,"S",""))</f>
        <v/>
      </c>
      <c r="I167" s="53" t="str">
        <f aca="false">IF(SUMPRODUCT((tl_target=$C167)*(tl_sub=I$4)*(tl_align="Primary"))&gt;0,"P",IF(SUMPRODUCT((tl_target=$C167)*(tl_sub=I$4))&gt;0,"S",""))</f>
        <v/>
      </c>
      <c r="J167" s="53" t="str">
        <f aca="false">IF(SUMPRODUCT((tl_target=$C167)*(tl_sub=J$4)*(tl_align="Primary"))&gt;0,"P",IF(SUMPRODUCT((tl_target=$C167)*(tl_sub=J$4))&gt;0,"S",""))</f>
        <v/>
      </c>
      <c r="K167" s="53" t="str">
        <f aca="false">IF(SUMPRODUCT((tl_target=$C167)*(tl_sub=K$4)*(tl_align="Primary"))&gt;0,"P",IF(SUMPRODUCT((tl_target=$C167)*(tl_sub=K$4))&gt;0,"S",""))</f>
        <v/>
      </c>
      <c r="L167" s="53" t="str">
        <f aca="false">IF(SUMPRODUCT((tl_target=$C167)*(tl_sub=L$4)*(tl_align="Primary"))&gt;0,"P",IF(SUMPRODUCT((tl_target=$C167)*(tl_sub=L$4))&gt;0,"S",""))</f>
        <v/>
      </c>
      <c r="M167" s="53" t="str">
        <f aca="false">IF(SUMPRODUCT((tl_target=$C167)*(tl_sub=M$4)*(tl_align="Primary"))&gt;0,"P",IF(SUMPRODUCT((tl_target=$C167)*(tl_sub=M$4))&gt;0,"S",""))</f>
        <v/>
      </c>
      <c r="N167" s="53" t="str">
        <f aca="false">IF(SUMPRODUCT((tl_target=$C167)*(tl_sub=N$4)*(tl_align="Primary"))&gt;0,"P",IF(SUMPRODUCT((tl_target=$C167)*(tl_sub=N$4))&gt;0,"S",""))</f>
        <v/>
      </c>
      <c r="O167" s="53" t="str">
        <f aca="false">IF(SUMPRODUCT((tl_target=$C167)*(tl_sub=O$4)*(tl_align="Primary"))&gt;0,"P",IF(SUMPRODUCT((tl_target=$C167)*(tl_sub=O$4))&gt;0,"S",""))</f>
        <v/>
      </c>
      <c r="P167" s="53" t="str">
        <f aca="false">IF(SUMPRODUCT((tl_target=$C167)*(tl_sub=P$4)*(tl_align="Primary"))&gt;0,"P",IF(SUMPRODUCT((tl_target=$C167)*(tl_sub=P$4))&gt;0,"S",""))</f>
        <v/>
      </c>
      <c r="Q167" s="53" t="str">
        <f aca="false">IF(SUMPRODUCT((tl_target=$C167)*(tl_sub=Q$4)*(tl_align="Primary"))&gt;0,"P",IF(SUMPRODUCT((tl_target=$C167)*(tl_sub=Q$4))&gt;0,"S",""))</f>
        <v/>
      </c>
      <c r="R167" s="69" t="str">
        <f aca="false">_xlfn.TEXTJOIN(", ",TRUE(),IF(SUMPRODUCT((tl_target=$C167)*(tl_principle="PP1"))&gt;0,"PP1",""),IF(SUMPRODUCT((tl_target=$C167)*(tl_principle="PP2"))&gt;0,"PP2",""),IF(SUMPRODUCT((tl_target=$C167)*(tl_principle="PP3"))&gt;0,"PP3",""),IF(SUMPRODUCT((tl_target=$C167)*(tl_principle="PP4"))&gt;0,"PP4",""))</f>
        <v/>
      </c>
      <c r="S167" s="9" t="n">
        <f aca="false">SUMPRODUCT(--(tl_target=$C167))</f>
        <v>0</v>
      </c>
      <c r="T167" s="53" t="str">
        <f aca="false">IF(SUMPRODUCT((tl_target=$C167)*(tl_align="Primary"))&gt;0,"Primary link",IF(S167&gt;0,"Secondary only","Gap"))</f>
        <v>Gap</v>
      </c>
      <c r="U167" s="66"/>
      <c r="V167" s="66"/>
      <c r="W167" s="66"/>
      <c r="X167" s="66"/>
      <c r="Y167" s="66"/>
    </row>
    <row r="168" customFormat="false" ht="15" hidden="false" customHeight="false" outlineLevel="0" collapsed="false">
      <c r="A168" s="19" t="n">
        <v>17</v>
      </c>
      <c r="B168" s="5" t="s">
        <v>203</v>
      </c>
      <c r="C168" s="13" t="s">
        <v>259</v>
      </c>
      <c r="D168" s="5" t="s">
        <v>499</v>
      </c>
      <c r="E168" s="5" t="s">
        <v>260</v>
      </c>
      <c r="F168" s="5" t="s">
        <v>261</v>
      </c>
      <c r="G168" s="9" t="n">
        <v>1</v>
      </c>
      <c r="H168" s="53" t="str">
        <f aca="false">IF(SUMPRODUCT((tl_target=$C168)*(tl_sub=H$4)*(tl_align="Primary"))&gt;0,"P",IF(SUMPRODUCT((tl_target=$C168)*(tl_sub=H$4))&gt;0,"S",""))</f>
        <v/>
      </c>
      <c r="I168" s="53" t="str">
        <f aca="false">IF(SUMPRODUCT((tl_target=$C168)*(tl_sub=I$4)*(tl_align="Primary"))&gt;0,"P",IF(SUMPRODUCT((tl_target=$C168)*(tl_sub=I$4))&gt;0,"S",""))</f>
        <v/>
      </c>
      <c r="J168" s="53" t="str">
        <f aca="false">IF(SUMPRODUCT((tl_target=$C168)*(tl_sub=J$4)*(tl_align="Primary"))&gt;0,"P",IF(SUMPRODUCT((tl_target=$C168)*(tl_sub=J$4))&gt;0,"S",""))</f>
        <v/>
      </c>
      <c r="K168" s="53" t="str">
        <f aca="false">IF(SUMPRODUCT((tl_target=$C168)*(tl_sub=K$4)*(tl_align="Primary"))&gt;0,"P",IF(SUMPRODUCT((tl_target=$C168)*(tl_sub=K$4))&gt;0,"S",""))</f>
        <v>S</v>
      </c>
      <c r="L168" s="53" t="str">
        <f aca="false">IF(SUMPRODUCT((tl_target=$C168)*(tl_sub=L$4)*(tl_align="Primary"))&gt;0,"P",IF(SUMPRODUCT((tl_target=$C168)*(tl_sub=L$4))&gt;0,"S",""))</f>
        <v/>
      </c>
      <c r="M168" s="53" t="str">
        <f aca="false">IF(SUMPRODUCT((tl_target=$C168)*(tl_sub=M$4)*(tl_align="Primary"))&gt;0,"P",IF(SUMPRODUCT((tl_target=$C168)*(tl_sub=M$4))&gt;0,"S",""))</f>
        <v/>
      </c>
      <c r="N168" s="53" t="str">
        <f aca="false">IF(SUMPRODUCT((tl_target=$C168)*(tl_sub=N$4)*(tl_align="Primary"))&gt;0,"P",IF(SUMPRODUCT((tl_target=$C168)*(tl_sub=N$4))&gt;0,"S",""))</f>
        <v/>
      </c>
      <c r="O168" s="53" t="str">
        <f aca="false">IF(SUMPRODUCT((tl_target=$C168)*(tl_sub=O$4)*(tl_align="Primary"))&gt;0,"P",IF(SUMPRODUCT((tl_target=$C168)*(tl_sub=O$4))&gt;0,"S",""))</f>
        <v/>
      </c>
      <c r="P168" s="53" t="str">
        <f aca="false">IF(SUMPRODUCT((tl_target=$C168)*(tl_sub=P$4)*(tl_align="Primary"))&gt;0,"P",IF(SUMPRODUCT((tl_target=$C168)*(tl_sub=P$4))&gt;0,"S",""))</f>
        <v>S</v>
      </c>
      <c r="Q168" s="53" t="str">
        <f aca="false">IF(SUMPRODUCT((tl_target=$C168)*(tl_sub=Q$4)*(tl_align="Primary"))&gt;0,"P",IF(SUMPRODUCT((tl_target=$C168)*(tl_sub=Q$4))&gt;0,"S",""))</f>
        <v>S</v>
      </c>
      <c r="R168" s="69" t="str">
        <f aca="false">_xlfn.TEXTJOIN(", ",TRUE(),IF(SUMPRODUCT((tl_target=$C168)*(tl_principle="PP1"))&gt;0,"PP1",""),IF(SUMPRODUCT((tl_target=$C168)*(tl_principle="PP2"))&gt;0,"PP2",""),IF(SUMPRODUCT((tl_target=$C168)*(tl_principle="PP3"))&gt;0,"PP3",""),IF(SUMPRODUCT((tl_target=$C168)*(tl_principle="PP4"))&gt;0,"PP4",""))</f>
        <v>PP2, PP4</v>
      </c>
      <c r="S168" s="9" t="n">
        <f aca="false">SUMPRODUCT(--(tl_target=$C168))</f>
        <v>3</v>
      </c>
      <c r="T168" s="53" t="str">
        <f aca="false">IF(SUMPRODUCT((tl_target=$C168)*(tl_align="Primary"))&gt;0,"Primary link",IF(S168&gt;0,"Secondary only","Gap"))</f>
        <v>Secondary only</v>
      </c>
      <c r="U168" s="66"/>
      <c r="V168" s="66"/>
      <c r="W168" s="66"/>
      <c r="X168" s="66"/>
      <c r="Y168" s="66"/>
    </row>
    <row r="169" customFormat="false" ht="23.85" hidden="false" customHeight="false" outlineLevel="0" collapsed="false">
      <c r="A169" s="19" t="n">
        <v>17</v>
      </c>
      <c r="B169" s="5" t="s">
        <v>203</v>
      </c>
      <c r="C169" s="13" t="s">
        <v>866</v>
      </c>
      <c r="D169" s="5" t="s">
        <v>499</v>
      </c>
      <c r="E169" s="5"/>
      <c r="F169" s="5" t="s">
        <v>867</v>
      </c>
      <c r="G169" s="9" t="n">
        <v>1</v>
      </c>
      <c r="H169" s="53" t="str">
        <f aca="false">IF(SUMPRODUCT((tl_target=$C169)*(tl_sub=H$4)*(tl_align="Primary"))&gt;0,"P",IF(SUMPRODUCT((tl_target=$C169)*(tl_sub=H$4))&gt;0,"S",""))</f>
        <v/>
      </c>
      <c r="I169" s="53" t="str">
        <f aca="false">IF(SUMPRODUCT((tl_target=$C169)*(tl_sub=I$4)*(tl_align="Primary"))&gt;0,"P",IF(SUMPRODUCT((tl_target=$C169)*(tl_sub=I$4))&gt;0,"S",""))</f>
        <v/>
      </c>
      <c r="J169" s="53" t="str">
        <f aca="false">IF(SUMPRODUCT((tl_target=$C169)*(tl_sub=J$4)*(tl_align="Primary"))&gt;0,"P",IF(SUMPRODUCT((tl_target=$C169)*(tl_sub=J$4))&gt;0,"S",""))</f>
        <v/>
      </c>
      <c r="K169" s="53" t="str">
        <f aca="false">IF(SUMPRODUCT((tl_target=$C169)*(tl_sub=K$4)*(tl_align="Primary"))&gt;0,"P",IF(SUMPRODUCT((tl_target=$C169)*(tl_sub=K$4))&gt;0,"S",""))</f>
        <v/>
      </c>
      <c r="L169" s="53" t="str">
        <f aca="false">IF(SUMPRODUCT((tl_target=$C169)*(tl_sub=L$4)*(tl_align="Primary"))&gt;0,"P",IF(SUMPRODUCT((tl_target=$C169)*(tl_sub=L$4))&gt;0,"S",""))</f>
        <v/>
      </c>
      <c r="M169" s="53" t="str">
        <f aca="false">IF(SUMPRODUCT((tl_target=$C169)*(tl_sub=M$4)*(tl_align="Primary"))&gt;0,"P",IF(SUMPRODUCT((tl_target=$C169)*(tl_sub=M$4))&gt;0,"S",""))</f>
        <v/>
      </c>
      <c r="N169" s="53" t="str">
        <f aca="false">IF(SUMPRODUCT((tl_target=$C169)*(tl_sub=N$4)*(tl_align="Primary"))&gt;0,"P",IF(SUMPRODUCT((tl_target=$C169)*(tl_sub=N$4))&gt;0,"S",""))</f>
        <v/>
      </c>
      <c r="O169" s="53" t="str">
        <f aca="false">IF(SUMPRODUCT((tl_target=$C169)*(tl_sub=O$4)*(tl_align="Primary"))&gt;0,"P",IF(SUMPRODUCT((tl_target=$C169)*(tl_sub=O$4))&gt;0,"S",""))</f>
        <v/>
      </c>
      <c r="P169" s="53" t="str">
        <f aca="false">IF(SUMPRODUCT((tl_target=$C169)*(tl_sub=P$4)*(tl_align="Primary"))&gt;0,"P",IF(SUMPRODUCT((tl_target=$C169)*(tl_sub=P$4))&gt;0,"S",""))</f>
        <v/>
      </c>
      <c r="Q169" s="53" t="str">
        <f aca="false">IF(SUMPRODUCT((tl_target=$C169)*(tl_sub=Q$4)*(tl_align="Primary"))&gt;0,"P",IF(SUMPRODUCT((tl_target=$C169)*(tl_sub=Q$4))&gt;0,"S",""))</f>
        <v/>
      </c>
      <c r="R169" s="69" t="str">
        <f aca="false">_xlfn.TEXTJOIN(", ",TRUE(),IF(SUMPRODUCT((tl_target=$C169)*(tl_principle="PP1"))&gt;0,"PP1",""),IF(SUMPRODUCT((tl_target=$C169)*(tl_principle="PP2"))&gt;0,"PP2",""),IF(SUMPRODUCT((tl_target=$C169)*(tl_principle="PP3"))&gt;0,"PP3",""),IF(SUMPRODUCT((tl_target=$C169)*(tl_principle="PP4"))&gt;0,"PP4",""))</f>
        <v/>
      </c>
      <c r="S169" s="9" t="n">
        <f aca="false">SUMPRODUCT(--(tl_target=$C169))</f>
        <v>0</v>
      </c>
      <c r="T169" s="53" t="str">
        <f aca="false">IF(SUMPRODUCT((tl_target=$C169)*(tl_align="Primary"))&gt;0,"Primary link",IF(S169&gt;0,"Secondary only","Gap"))</f>
        <v>Gap</v>
      </c>
      <c r="U169" s="66"/>
      <c r="V169" s="66"/>
      <c r="W169" s="66"/>
      <c r="X169" s="66"/>
      <c r="Y169" s="66"/>
    </row>
    <row r="170" customFormat="false" ht="57.45" hidden="false" customHeight="false" outlineLevel="0" collapsed="false">
      <c r="A170" s="19" t="n">
        <v>17</v>
      </c>
      <c r="B170" s="5" t="s">
        <v>203</v>
      </c>
      <c r="C170" s="13" t="s">
        <v>264</v>
      </c>
      <c r="D170" s="5" t="s">
        <v>499</v>
      </c>
      <c r="E170" s="5" t="s">
        <v>265</v>
      </c>
      <c r="F170" s="5" t="s">
        <v>266</v>
      </c>
      <c r="G170" s="9" t="n">
        <v>1</v>
      </c>
      <c r="H170" s="53" t="str">
        <f aca="false">IF(SUMPRODUCT((tl_target=$C170)*(tl_sub=H$4)*(tl_align="Primary"))&gt;0,"P",IF(SUMPRODUCT((tl_target=$C170)*(tl_sub=H$4))&gt;0,"S",""))</f>
        <v/>
      </c>
      <c r="I170" s="53" t="str">
        <f aca="false">IF(SUMPRODUCT((tl_target=$C170)*(tl_sub=I$4)*(tl_align="Primary"))&gt;0,"P",IF(SUMPRODUCT((tl_target=$C170)*(tl_sub=I$4))&gt;0,"S",""))</f>
        <v/>
      </c>
      <c r="J170" s="53" t="str">
        <f aca="false">IF(SUMPRODUCT((tl_target=$C170)*(tl_sub=J$4)*(tl_align="Primary"))&gt;0,"P",IF(SUMPRODUCT((tl_target=$C170)*(tl_sub=J$4))&gt;0,"S",""))</f>
        <v/>
      </c>
      <c r="K170" s="53" t="str">
        <f aca="false">IF(SUMPRODUCT((tl_target=$C170)*(tl_sub=K$4)*(tl_align="Primary"))&gt;0,"P",IF(SUMPRODUCT((tl_target=$C170)*(tl_sub=K$4))&gt;0,"S",""))</f>
        <v>S</v>
      </c>
      <c r="L170" s="53" t="str">
        <f aca="false">IF(SUMPRODUCT((tl_target=$C170)*(tl_sub=L$4)*(tl_align="Primary"))&gt;0,"P",IF(SUMPRODUCT((tl_target=$C170)*(tl_sub=L$4))&gt;0,"S",""))</f>
        <v/>
      </c>
      <c r="M170" s="53" t="str">
        <f aca="false">IF(SUMPRODUCT((tl_target=$C170)*(tl_sub=M$4)*(tl_align="Primary"))&gt;0,"P",IF(SUMPRODUCT((tl_target=$C170)*(tl_sub=M$4))&gt;0,"S",""))</f>
        <v/>
      </c>
      <c r="N170" s="53" t="str">
        <f aca="false">IF(SUMPRODUCT((tl_target=$C170)*(tl_sub=N$4)*(tl_align="Primary"))&gt;0,"P",IF(SUMPRODUCT((tl_target=$C170)*(tl_sub=N$4))&gt;0,"S",""))</f>
        <v/>
      </c>
      <c r="O170" s="53" t="str">
        <f aca="false">IF(SUMPRODUCT((tl_target=$C170)*(tl_sub=O$4)*(tl_align="Primary"))&gt;0,"P",IF(SUMPRODUCT((tl_target=$C170)*(tl_sub=O$4))&gt;0,"S",""))</f>
        <v>P</v>
      </c>
      <c r="P170" s="53" t="str">
        <f aca="false">IF(SUMPRODUCT((tl_target=$C170)*(tl_sub=P$4)*(tl_align="Primary"))&gt;0,"P",IF(SUMPRODUCT((tl_target=$C170)*(tl_sub=P$4))&gt;0,"S",""))</f>
        <v/>
      </c>
      <c r="Q170" s="53" t="str">
        <f aca="false">IF(SUMPRODUCT((tl_target=$C170)*(tl_sub=Q$4)*(tl_align="Primary"))&gt;0,"P",IF(SUMPRODUCT((tl_target=$C170)*(tl_sub=Q$4))&gt;0,"S",""))</f>
        <v/>
      </c>
      <c r="R170" s="69" t="str">
        <f aca="false">_xlfn.TEXTJOIN(", ",TRUE(),IF(SUMPRODUCT((tl_target=$C170)*(tl_principle="PP1"))&gt;0,"PP1",""),IF(SUMPRODUCT((tl_target=$C170)*(tl_principle="PP2"))&gt;0,"PP2",""),IF(SUMPRODUCT((tl_target=$C170)*(tl_principle="PP3"))&gt;0,"PP3",""),IF(SUMPRODUCT((tl_target=$C170)*(tl_principle="PP4"))&gt;0,"PP4",""))</f>
        <v>PP2, PP3</v>
      </c>
      <c r="S170" s="9" t="n">
        <f aca="false">SUMPRODUCT(--(tl_target=$C170))</f>
        <v>2</v>
      </c>
      <c r="T170" s="53" t="str">
        <f aca="false">IF(SUMPRODUCT((tl_target=$C170)*(tl_align="Primary"))&gt;0,"Primary link",IF(S170&gt;0,"Secondary only","Gap"))</f>
        <v>Primary link</v>
      </c>
      <c r="U170" s="66"/>
      <c r="V170" s="66"/>
      <c r="W170" s="66"/>
      <c r="X170" s="66"/>
      <c r="Y170" s="66"/>
    </row>
    <row r="171" customFormat="false" ht="35.05" hidden="false" customHeight="false" outlineLevel="0" collapsed="false">
      <c r="A171" s="19" t="n">
        <v>17</v>
      </c>
      <c r="B171" s="5" t="s">
        <v>203</v>
      </c>
      <c r="C171" s="13" t="s">
        <v>269</v>
      </c>
      <c r="D171" s="5" t="s">
        <v>499</v>
      </c>
      <c r="E171" s="5" t="s">
        <v>270</v>
      </c>
      <c r="F171" s="5" t="s">
        <v>271</v>
      </c>
      <c r="G171" s="9" t="n">
        <v>1</v>
      </c>
      <c r="H171" s="53" t="str">
        <f aca="false">IF(SUMPRODUCT((tl_target=$C171)*(tl_sub=H$4)*(tl_align="Primary"))&gt;0,"P",IF(SUMPRODUCT((tl_target=$C171)*(tl_sub=H$4))&gt;0,"S",""))</f>
        <v/>
      </c>
      <c r="I171" s="53" t="str">
        <f aca="false">IF(SUMPRODUCT((tl_target=$C171)*(tl_sub=I$4)*(tl_align="Primary"))&gt;0,"P",IF(SUMPRODUCT((tl_target=$C171)*(tl_sub=I$4))&gt;0,"S",""))</f>
        <v/>
      </c>
      <c r="J171" s="53" t="str">
        <f aca="false">IF(SUMPRODUCT((tl_target=$C171)*(tl_sub=J$4)*(tl_align="Primary"))&gt;0,"P",IF(SUMPRODUCT((tl_target=$C171)*(tl_sub=J$4))&gt;0,"S",""))</f>
        <v/>
      </c>
      <c r="K171" s="53" t="str">
        <f aca="false">IF(SUMPRODUCT((tl_target=$C171)*(tl_sub=K$4)*(tl_align="Primary"))&gt;0,"P",IF(SUMPRODUCT((tl_target=$C171)*(tl_sub=K$4))&gt;0,"S",""))</f>
        <v>S</v>
      </c>
      <c r="L171" s="53" t="str">
        <f aca="false">IF(SUMPRODUCT((tl_target=$C171)*(tl_sub=L$4)*(tl_align="Primary"))&gt;0,"P",IF(SUMPRODUCT((tl_target=$C171)*(tl_sub=L$4))&gt;0,"S",""))</f>
        <v/>
      </c>
      <c r="M171" s="53" t="str">
        <f aca="false">IF(SUMPRODUCT((tl_target=$C171)*(tl_sub=M$4)*(tl_align="Primary"))&gt;0,"P",IF(SUMPRODUCT((tl_target=$C171)*(tl_sub=M$4))&gt;0,"S",""))</f>
        <v/>
      </c>
      <c r="N171" s="53" t="str">
        <f aca="false">IF(SUMPRODUCT((tl_target=$C171)*(tl_sub=N$4)*(tl_align="Primary"))&gt;0,"P",IF(SUMPRODUCT((tl_target=$C171)*(tl_sub=N$4))&gt;0,"S",""))</f>
        <v/>
      </c>
      <c r="O171" s="53" t="str">
        <f aca="false">IF(SUMPRODUCT((tl_target=$C171)*(tl_sub=O$4)*(tl_align="Primary"))&gt;0,"P",IF(SUMPRODUCT((tl_target=$C171)*(tl_sub=O$4))&gt;0,"S",""))</f>
        <v>P</v>
      </c>
      <c r="P171" s="53" t="str">
        <f aca="false">IF(SUMPRODUCT((tl_target=$C171)*(tl_sub=P$4)*(tl_align="Primary"))&gt;0,"P",IF(SUMPRODUCT((tl_target=$C171)*(tl_sub=P$4))&gt;0,"S",""))</f>
        <v/>
      </c>
      <c r="Q171" s="53" t="str">
        <f aca="false">IF(SUMPRODUCT((tl_target=$C171)*(tl_sub=Q$4)*(tl_align="Primary"))&gt;0,"P",IF(SUMPRODUCT((tl_target=$C171)*(tl_sub=Q$4))&gt;0,"S",""))</f>
        <v/>
      </c>
      <c r="R171" s="69" t="str">
        <f aca="false">_xlfn.TEXTJOIN(", ",TRUE(),IF(SUMPRODUCT((tl_target=$C171)*(tl_principle="PP1"))&gt;0,"PP1",""),IF(SUMPRODUCT((tl_target=$C171)*(tl_principle="PP2"))&gt;0,"PP2",""),IF(SUMPRODUCT((tl_target=$C171)*(tl_principle="PP3"))&gt;0,"PP3",""),IF(SUMPRODUCT((tl_target=$C171)*(tl_principle="PP4"))&gt;0,"PP4",""))</f>
        <v>PP2, PP3</v>
      </c>
      <c r="S171" s="9" t="n">
        <f aca="false">SUMPRODUCT(--(tl_target=$C171))</f>
        <v>2</v>
      </c>
      <c r="T171" s="53" t="str">
        <f aca="false">IF(SUMPRODUCT((tl_target=$C171)*(tl_align="Primary"))&gt;0,"Primary link",IF(S171&gt;0,"Secondary only","Gap"))</f>
        <v>Primary link</v>
      </c>
      <c r="U171" s="66"/>
      <c r="V171" s="66"/>
      <c r="W171" s="66"/>
      <c r="X171" s="66"/>
      <c r="Y171" s="66"/>
    </row>
    <row r="172" customFormat="false" ht="68.65" hidden="false" customHeight="false" outlineLevel="0" collapsed="false">
      <c r="A172" s="19" t="n">
        <v>17</v>
      </c>
      <c r="B172" s="5" t="s">
        <v>203</v>
      </c>
      <c r="C172" s="13" t="s">
        <v>868</v>
      </c>
      <c r="D172" s="5" t="s">
        <v>499</v>
      </c>
      <c r="E172" s="5"/>
      <c r="F172" s="5" t="s">
        <v>869</v>
      </c>
      <c r="G172" s="9" t="n">
        <v>3</v>
      </c>
      <c r="H172" s="53" t="str">
        <f aca="false">IF(SUMPRODUCT((tl_target=$C172)*(tl_sub=H$4)*(tl_align="Primary"))&gt;0,"P",IF(SUMPRODUCT((tl_target=$C172)*(tl_sub=H$4))&gt;0,"S",""))</f>
        <v/>
      </c>
      <c r="I172" s="53" t="str">
        <f aca="false">IF(SUMPRODUCT((tl_target=$C172)*(tl_sub=I$4)*(tl_align="Primary"))&gt;0,"P",IF(SUMPRODUCT((tl_target=$C172)*(tl_sub=I$4))&gt;0,"S",""))</f>
        <v/>
      </c>
      <c r="J172" s="53" t="str">
        <f aca="false">IF(SUMPRODUCT((tl_target=$C172)*(tl_sub=J$4)*(tl_align="Primary"))&gt;0,"P",IF(SUMPRODUCT((tl_target=$C172)*(tl_sub=J$4))&gt;0,"S",""))</f>
        <v/>
      </c>
      <c r="K172" s="53" t="str">
        <f aca="false">IF(SUMPRODUCT((tl_target=$C172)*(tl_sub=K$4)*(tl_align="Primary"))&gt;0,"P",IF(SUMPRODUCT((tl_target=$C172)*(tl_sub=K$4))&gt;0,"S",""))</f>
        <v/>
      </c>
      <c r="L172" s="53" t="str">
        <f aca="false">IF(SUMPRODUCT((tl_target=$C172)*(tl_sub=L$4)*(tl_align="Primary"))&gt;0,"P",IF(SUMPRODUCT((tl_target=$C172)*(tl_sub=L$4))&gt;0,"S",""))</f>
        <v/>
      </c>
      <c r="M172" s="53" t="str">
        <f aca="false">IF(SUMPRODUCT((tl_target=$C172)*(tl_sub=M$4)*(tl_align="Primary"))&gt;0,"P",IF(SUMPRODUCT((tl_target=$C172)*(tl_sub=M$4))&gt;0,"S",""))</f>
        <v/>
      </c>
      <c r="N172" s="53" t="str">
        <f aca="false">IF(SUMPRODUCT((tl_target=$C172)*(tl_sub=N$4)*(tl_align="Primary"))&gt;0,"P",IF(SUMPRODUCT((tl_target=$C172)*(tl_sub=N$4))&gt;0,"S",""))</f>
        <v/>
      </c>
      <c r="O172" s="53" t="str">
        <f aca="false">IF(SUMPRODUCT((tl_target=$C172)*(tl_sub=O$4)*(tl_align="Primary"))&gt;0,"P",IF(SUMPRODUCT((tl_target=$C172)*(tl_sub=O$4))&gt;0,"S",""))</f>
        <v/>
      </c>
      <c r="P172" s="53" t="str">
        <f aca="false">IF(SUMPRODUCT((tl_target=$C172)*(tl_sub=P$4)*(tl_align="Primary"))&gt;0,"P",IF(SUMPRODUCT((tl_target=$C172)*(tl_sub=P$4))&gt;0,"S",""))</f>
        <v/>
      </c>
      <c r="Q172" s="53" t="str">
        <f aca="false">IF(SUMPRODUCT((tl_target=$C172)*(tl_sub=Q$4)*(tl_align="Primary"))&gt;0,"P",IF(SUMPRODUCT((tl_target=$C172)*(tl_sub=Q$4))&gt;0,"S",""))</f>
        <v/>
      </c>
      <c r="R172" s="69" t="str">
        <f aca="false">_xlfn.TEXTJOIN(", ",TRUE(),IF(SUMPRODUCT((tl_target=$C172)*(tl_principle="PP1"))&gt;0,"PP1",""),IF(SUMPRODUCT((tl_target=$C172)*(tl_principle="PP2"))&gt;0,"PP2",""),IF(SUMPRODUCT((tl_target=$C172)*(tl_principle="PP3"))&gt;0,"PP3",""),IF(SUMPRODUCT((tl_target=$C172)*(tl_principle="PP4"))&gt;0,"PP4",""))</f>
        <v/>
      </c>
      <c r="S172" s="9" t="n">
        <f aca="false">SUMPRODUCT(--(tl_target=$C172))</f>
        <v>0</v>
      </c>
      <c r="T172" s="53" t="str">
        <f aca="false">IF(SUMPRODUCT((tl_target=$C172)*(tl_align="Primary"))&gt;0,"Primary link",IF(S172&gt;0,"Secondary only","Gap"))</f>
        <v>Gap</v>
      </c>
      <c r="U172" s="66"/>
      <c r="V172" s="66"/>
      <c r="W172" s="66"/>
      <c r="X172" s="66"/>
      <c r="Y172" s="66"/>
    </row>
    <row r="173" customFormat="false" ht="35.05" hidden="false" customHeight="false" outlineLevel="0" collapsed="false">
      <c r="A173" s="19" t="n">
        <v>17</v>
      </c>
      <c r="B173" s="5" t="s">
        <v>203</v>
      </c>
      <c r="C173" s="13" t="s">
        <v>870</v>
      </c>
      <c r="D173" s="5" t="s">
        <v>499</v>
      </c>
      <c r="E173" s="5"/>
      <c r="F173" s="5" t="s">
        <v>871</v>
      </c>
      <c r="G173" s="9" t="n">
        <v>2</v>
      </c>
      <c r="H173" s="53" t="str">
        <f aca="false">IF(SUMPRODUCT((tl_target=$C173)*(tl_sub=H$4)*(tl_align="Primary"))&gt;0,"P",IF(SUMPRODUCT((tl_target=$C173)*(tl_sub=H$4))&gt;0,"S",""))</f>
        <v/>
      </c>
      <c r="I173" s="53" t="str">
        <f aca="false">IF(SUMPRODUCT((tl_target=$C173)*(tl_sub=I$4)*(tl_align="Primary"))&gt;0,"P",IF(SUMPRODUCT((tl_target=$C173)*(tl_sub=I$4))&gt;0,"S",""))</f>
        <v/>
      </c>
      <c r="J173" s="53" t="str">
        <f aca="false">IF(SUMPRODUCT((tl_target=$C173)*(tl_sub=J$4)*(tl_align="Primary"))&gt;0,"P",IF(SUMPRODUCT((tl_target=$C173)*(tl_sub=J$4))&gt;0,"S",""))</f>
        <v/>
      </c>
      <c r="K173" s="53" t="str">
        <f aca="false">IF(SUMPRODUCT((tl_target=$C173)*(tl_sub=K$4)*(tl_align="Primary"))&gt;0,"P",IF(SUMPRODUCT((tl_target=$C173)*(tl_sub=K$4))&gt;0,"S",""))</f>
        <v/>
      </c>
      <c r="L173" s="53" t="str">
        <f aca="false">IF(SUMPRODUCT((tl_target=$C173)*(tl_sub=L$4)*(tl_align="Primary"))&gt;0,"P",IF(SUMPRODUCT((tl_target=$C173)*(tl_sub=L$4))&gt;0,"S",""))</f>
        <v/>
      </c>
      <c r="M173" s="53" t="str">
        <f aca="false">IF(SUMPRODUCT((tl_target=$C173)*(tl_sub=M$4)*(tl_align="Primary"))&gt;0,"P",IF(SUMPRODUCT((tl_target=$C173)*(tl_sub=M$4))&gt;0,"S",""))</f>
        <v/>
      </c>
      <c r="N173" s="53" t="str">
        <f aca="false">IF(SUMPRODUCT((tl_target=$C173)*(tl_sub=N$4)*(tl_align="Primary"))&gt;0,"P",IF(SUMPRODUCT((tl_target=$C173)*(tl_sub=N$4))&gt;0,"S",""))</f>
        <v/>
      </c>
      <c r="O173" s="53" t="str">
        <f aca="false">IF(SUMPRODUCT((tl_target=$C173)*(tl_sub=O$4)*(tl_align="Primary"))&gt;0,"P",IF(SUMPRODUCT((tl_target=$C173)*(tl_sub=O$4))&gt;0,"S",""))</f>
        <v/>
      </c>
      <c r="P173" s="53" t="str">
        <f aca="false">IF(SUMPRODUCT((tl_target=$C173)*(tl_sub=P$4)*(tl_align="Primary"))&gt;0,"P",IF(SUMPRODUCT((tl_target=$C173)*(tl_sub=P$4))&gt;0,"S",""))</f>
        <v/>
      </c>
      <c r="Q173" s="53" t="str">
        <f aca="false">IF(SUMPRODUCT((tl_target=$C173)*(tl_sub=Q$4)*(tl_align="Primary"))&gt;0,"P",IF(SUMPRODUCT((tl_target=$C173)*(tl_sub=Q$4))&gt;0,"S",""))</f>
        <v/>
      </c>
      <c r="R173" s="69" t="str">
        <f aca="false">_xlfn.TEXTJOIN(", ",TRUE(),IF(SUMPRODUCT((tl_target=$C173)*(tl_principle="PP1"))&gt;0,"PP1",""),IF(SUMPRODUCT((tl_target=$C173)*(tl_principle="PP2"))&gt;0,"PP2",""),IF(SUMPRODUCT((tl_target=$C173)*(tl_principle="PP3"))&gt;0,"PP3",""),IF(SUMPRODUCT((tl_target=$C173)*(tl_principle="PP4"))&gt;0,"PP4",""))</f>
        <v/>
      </c>
      <c r="S173" s="9" t="n">
        <f aca="false">SUMPRODUCT(--(tl_target=$C173))</f>
        <v>0</v>
      </c>
      <c r="T173" s="53" t="str">
        <f aca="false">IF(SUMPRODUCT((tl_target=$C173)*(tl_align="Primary"))&gt;0,"Primary link",IF(S173&gt;0,"Secondary only","Gap"))</f>
        <v>Gap</v>
      </c>
      <c r="U173" s="66"/>
      <c r="V173" s="66"/>
      <c r="W173" s="66"/>
      <c r="X173" s="66"/>
      <c r="Y173" s="66"/>
    </row>
  </sheetData>
  <autoFilter ref="A4:Y173"/>
  <mergeCells count="5">
    <mergeCell ref="H3:I3"/>
    <mergeCell ref="J3:L3"/>
    <mergeCell ref="M3:O3"/>
    <mergeCell ref="P3:Q3"/>
    <mergeCell ref="U3:Y3"/>
  </mergeCells>
  <conditionalFormatting sqref="H5:Q173">
    <cfRule type="cellIs" priority="2" operator="equal" aboveAverage="0" equalAverage="0" bottom="0" percent="0" rank="0" text="" dxfId="35">
      <formula>"P"</formula>
    </cfRule>
    <cfRule type="cellIs" priority="3" operator="equal" aboveAverage="0" equalAverage="0" bottom="0" percent="0" rank="0" text="" dxfId="36">
      <formula>"S"</formula>
    </cfRule>
  </conditionalFormatting>
  <conditionalFormatting sqref="T5:T173">
    <cfRule type="cellIs" priority="4" operator="equal" aboveAverage="0" equalAverage="0" bottom="0" percent="0" rank="0" text="" dxfId="37">
      <formula>"Primary link"</formula>
    </cfRule>
    <cfRule type="cellIs" priority="5" operator="equal" aboveAverage="0" equalAverage="0" bottom="0" percent="0" rank="0" text="" dxfId="38">
      <formula>"Secondary only"</formula>
    </cfRule>
    <cfRule type="cellIs" priority="6" operator="equal" aboveAverage="0" equalAverage="0" bottom="0" percent="0" rank="0" text="" dxfId="22">
      <formula>"Gap"</formula>
    </cfRule>
  </conditionalFormatting>
  <conditionalFormatting sqref="B5:F173">
    <cfRule type="expression" priority="7" aboveAverage="0" equalAverage="0" bottom="0" percent="0" rank="0" text="" dxfId="39">
      <formula>COUNTIF($A$5:$A$173,$A5)=COUNTIFS($A$5:$A$173,$A5,$T$5:$T$173,"Gap")</formula>
    </cfRule>
  </conditionalFormatting>
  <dataValidations count="4">
    <dataValidation allowBlank="true" errorStyle="stop" operator="between" prompt="How relevant is this target to infrastructure delivery?" promptTitle="Team input" showDropDown="false" showErrorMessage="false" showInputMessage="true" sqref="U5:U173" type="list">
      <formula1>"High,Medium,Low,Not relevant"</formula1>
      <formula2>0</formula2>
    </dataValidation>
    <dataValidation allowBlank="true" errorStyle="stop" operator="between" prompt="Which sub-principle could carry this target?" promptTitle="Team input" showDropDown="false" showErrorMessage="false" showInputMessage="true" sqref="V5:V173" type="list">
      <formula1>'Sub-principles'!$A$2:$A$11</formula1>
      <formula2>0</formula2>
    </dataValidation>
    <dataValidation allowBlank="true" errorStyle="stop" operator="between" prompt="Proposed alignment if a link is added" promptTitle="Team input" showDropDown="false" showErrorMessage="false" showInputMessage="true" sqref="W5:W173" type="list">
      <formula1>"Primary,Secondary"</formula1>
      <formula2>0</formula2>
    </dataValidation>
    <dataValidation allowBlank="true" errorStyle="stop" operator="between" prompt="Outcome of the discussion" promptTitle="Team input" showDropDown="false" showErrorMessage="false" showInputMessage="true" sqref="X5:X173" type="list">
      <formula1>"Add link,Keep as gap,Discuss further"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11"/>
    <col collapsed="false" customWidth="true" hidden="false" outlineLevel="0" max="4" min="4" style="1" width="44"/>
    <col collapsed="false" customWidth="true" hidden="false" outlineLevel="0" max="5" min="5" style="1" width="40"/>
    <col collapsed="false" customWidth="true" hidden="false" outlineLevel="0" max="6" min="6" style="1" width="56"/>
  </cols>
  <sheetData>
    <row r="1" customFormat="false" ht="30" hidden="false" customHeight="true" outlineLevel="0" collapsed="false">
      <c r="A1" s="7" t="s">
        <v>872</v>
      </c>
      <c r="B1" s="6" t="s">
        <v>873</v>
      </c>
      <c r="C1" s="6" t="s">
        <v>874</v>
      </c>
      <c r="D1" s="6" t="s">
        <v>875</v>
      </c>
      <c r="E1" s="6" t="s">
        <v>876</v>
      </c>
      <c r="F1" s="6" t="s">
        <v>877</v>
      </c>
    </row>
    <row r="2" customFormat="false" ht="15" hidden="false" customHeight="true" outlineLevel="0" collapsed="false">
      <c r="A2" s="9" t="n">
        <v>1</v>
      </c>
      <c r="B2" s="5" t="s">
        <v>48</v>
      </c>
      <c r="C2" s="5" t="s">
        <v>62</v>
      </c>
      <c r="D2" s="5" t="s">
        <v>878</v>
      </c>
      <c r="E2" s="5" t="s">
        <v>879</v>
      </c>
      <c r="F2" s="5" t="s">
        <v>880</v>
      </c>
    </row>
    <row r="3" customFormat="false" ht="15" hidden="false" customHeight="true" outlineLevel="0" collapsed="false">
      <c r="A3" s="9" t="n">
        <v>2</v>
      </c>
      <c r="B3" s="5" t="s">
        <v>48</v>
      </c>
      <c r="C3" s="5" t="s">
        <v>107</v>
      </c>
      <c r="D3" s="5" t="s">
        <v>881</v>
      </c>
      <c r="E3" s="5" t="s">
        <v>882</v>
      </c>
      <c r="F3" s="5" t="s">
        <v>880</v>
      </c>
    </row>
    <row r="4" customFormat="false" ht="15" hidden="false" customHeight="true" outlineLevel="0" collapsed="false">
      <c r="A4" s="9" t="n">
        <v>3</v>
      </c>
      <c r="B4" s="5" t="s">
        <v>48</v>
      </c>
      <c r="C4" s="5" t="s">
        <v>116</v>
      </c>
      <c r="D4" s="5" t="s">
        <v>881</v>
      </c>
      <c r="E4" s="5" t="s">
        <v>882</v>
      </c>
      <c r="F4" s="5" t="s">
        <v>880</v>
      </c>
    </row>
    <row r="5" customFormat="false" ht="23.25" hidden="false" customHeight="true" outlineLevel="0" collapsed="false">
      <c r="A5" s="9" t="n">
        <v>4</v>
      </c>
      <c r="B5" s="5" t="s">
        <v>883</v>
      </c>
      <c r="C5" s="5" t="s">
        <v>125</v>
      </c>
      <c r="D5" s="5" t="s">
        <v>884</v>
      </c>
      <c r="E5" s="5" t="s">
        <v>126</v>
      </c>
      <c r="F5" s="5" t="s">
        <v>885</v>
      </c>
    </row>
    <row r="6" customFormat="false" ht="15" hidden="false" customHeight="true" outlineLevel="0" collapsed="false">
      <c r="A6" s="9" t="n">
        <v>5</v>
      </c>
      <c r="B6" s="5" t="s">
        <v>886</v>
      </c>
      <c r="C6" s="5" t="s">
        <v>211</v>
      </c>
      <c r="D6" s="5" t="s">
        <v>887</v>
      </c>
      <c r="E6" s="5" t="s">
        <v>888</v>
      </c>
      <c r="F6" s="5" t="s">
        <v>889</v>
      </c>
    </row>
    <row r="7" customFormat="false" ht="15" hidden="false" customHeight="true" outlineLevel="0" collapsed="false">
      <c r="A7" s="9" t="n">
        <v>6</v>
      </c>
      <c r="B7" s="5" t="s">
        <v>886</v>
      </c>
      <c r="C7" s="5" t="s">
        <v>269</v>
      </c>
      <c r="D7" s="5" t="s">
        <v>890</v>
      </c>
      <c r="E7" s="5" t="s">
        <v>891</v>
      </c>
      <c r="F7" s="5" t="s">
        <v>889</v>
      </c>
    </row>
    <row r="8" customFormat="false" ht="15" hidden="false" customHeight="true" outlineLevel="0" collapsed="false">
      <c r="A8" s="9" t="n">
        <v>7</v>
      </c>
      <c r="B8" s="5" t="s">
        <v>892</v>
      </c>
      <c r="C8" s="5" t="s">
        <v>251</v>
      </c>
      <c r="D8" s="5" t="s">
        <v>893</v>
      </c>
      <c r="E8" s="5" t="s">
        <v>251</v>
      </c>
      <c r="F8" s="5" t="s">
        <v>894</v>
      </c>
    </row>
    <row r="9" customFormat="false" ht="15" hidden="false" customHeight="true" outlineLevel="0" collapsed="false">
      <c r="A9" s="9" t="n">
        <v>8</v>
      </c>
      <c r="B9" s="5" t="s">
        <v>6</v>
      </c>
      <c r="C9" s="5" t="s">
        <v>53</v>
      </c>
      <c r="D9" s="5" t="s">
        <v>895</v>
      </c>
      <c r="E9" s="5" t="s">
        <v>896</v>
      </c>
      <c r="F9" s="5" t="s">
        <v>897</v>
      </c>
    </row>
    <row r="10" customFormat="false" ht="15" hidden="false" customHeight="true" outlineLevel="0" collapsed="false">
      <c r="A10" s="9" t="n">
        <v>9</v>
      </c>
      <c r="B10" s="5" t="s">
        <v>6</v>
      </c>
      <c r="C10" s="5" t="s">
        <v>53</v>
      </c>
      <c r="D10" s="5" t="s">
        <v>898</v>
      </c>
      <c r="E10" s="5" t="s">
        <v>899</v>
      </c>
      <c r="F10" s="5" t="s">
        <v>897</v>
      </c>
    </row>
    <row r="11" customFormat="false" ht="15" hidden="false" customHeight="true" outlineLevel="0" collapsed="false">
      <c r="A11" s="9" t="n">
        <v>10</v>
      </c>
      <c r="B11" s="5" t="s">
        <v>6</v>
      </c>
      <c r="C11" s="5" t="s">
        <v>80</v>
      </c>
      <c r="D11" s="5" t="s">
        <v>900</v>
      </c>
      <c r="E11" s="5" t="s">
        <v>901</v>
      </c>
      <c r="F11" s="5" t="s">
        <v>902</v>
      </c>
    </row>
    <row r="12" customFormat="false" ht="15" hidden="false" customHeight="true" outlineLevel="0" collapsed="false">
      <c r="A12" s="9" t="n">
        <v>11</v>
      </c>
      <c r="B12" s="5" t="s">
        <v>6</v>
      </c>
      <c r="C12" s="5" t="s">
        <v>80</v>
      </c>
      <c r="D12" s="5" t="s">
        <v>895</v>
      </c>
      <c r="E12" s="5" t="s">
        <v>896</v>
      </c>
      <c r="F12" s="5" t="s">
        <v>897</v>
      </c>
    </row>
    <row r="13" customFormat="false" ht="15" hidden="false" customHeight="true" outlineLevel="0" collapsed="false">
      <c r="A13" s="9" t="n">
        <v>12</v>
      </c>
      <c r="B13" s="5" t="s">
        <v>6</v>
      </c>
      <c r="C13" s="5" t="s">
        <v>80</v>
      </c>
      <c r="D13" s="5" t="s">
        <v>898</v>
      </c>
      <c r="E13" s="5" t="s">
        <v>899</v>
      </c>
      <c r="F13" s="5" t="s">
        <v>897</v>
      </c>
    </row>
    <row r="14" customFormat="false" ht="15" hidden="false" customHeight="true" outlineLevel="0" collapsed="false">
      <c r="A14" s="9" t="n">
        <v>13</v>
      </c>
      <c r="B14" s="5" t="s">
        <v>6</v>
      </c>
      <c r="C14" s="5" t="s">
        <v>98</v>
      </c>
      <c r="D14" s="5" t="s">
        <v>903</v>
      </c>
      <c r="E14" s="5" t="s">
        <v>904</v>
      </c>
      <c r="F14" s="5" t="s">
        <v>902</v>
      </c>
    </row>
    <row r="15" customFormat="false" ht="15" hidden="false" customHeight="true" outlineLevel="0" collapsed="false">
      <c r="A15" s="9" t="n">
        <v>14</v>
      </c>
      <c r="B15" s="5" t="s">
        <v>6</v>
      </c>
      <c r="C15" s="5" t="s">
        <v>98</v>
      </c>
      <c r="D15" s="5" t="s">
        <v>905</v>
      </c>
      <c r="E15" s="5" t="s">
        <v>29</v>
      </c>
      <c r="F15" s="5" t="s">
        <v>902</v>
      </c>
    </row>
    <row r="16" customFormat="false" ht="15" hidden="false" customHeight="true" outlineLevel="0" collapsed="false">
      <c r="A16" s="9" t="n">
        <v>15</v>
      </c>
      <c r="B16" s="5" t="s">
        <v>6</v>
      </c>
      <c r="C16" s="5" t="s">
        <v>98</v>
      </c>
      <c r="D16" s="5" t="s">
        <v>898</v>
      </c>
      <c r="E16" s="5" t="s">
        <v>899</v>
      </c>
      <c r="F16" s="5" t="s">
        <v>897</v>
      </c>
    </row>
    <row r="17" customFormat="false" ht="15" hidden="false" customHeight="true" outlineLevel="0" collapsed="false">
      <c r="A17" s="9" t="n">
        <v>16</v>
      </c>
      <c r="B17" s="5" t="s">
        <v>6</v>
      </c>
      <c r="C17" s="5" t="s">
        <v>116</v>
      </c>
      <c r="D17" s="5" t="s">
        <v>906</v>
      </c>
      <c r="E17" s="5" t="s">
        <v>907</v>
      </c>
      <c r="F17" s="5" t="s">
        <v>902</v>
      </c>
    </row>
    <row r="18" customFormat="false" ht="15" hidden="false" customHeight="true" outlineLevel="0" collapsed="false">
      <c r="A18" s="9" t="n">
        <v>17</v>
      </c>
      <c r="B18" s="5" t="s">
        <v>6</v>
      </c>
      <c r="C18" s="5" t="s">
        <v>116</v>
      </c>
      <c r="D18" s="5" t="s">
        <v>895</v>
      </c>
      <c r="E18" s="5" t="s">
        <v>896</v>
      </c>
      <c r="F18" s="5" t="s">
        <v>897</v>
      </c>
    </row>
    <row r="19" customFormat="false" ht="15" hidden="false" customHeight="true" outlineLevel="0" collapsed="false">
      <c r="A19" s="9" t="n">
        <v>18</v>
      </c>
      <c r="B19" s="5" t="s">
        <v>6</v>
      </c>
      <c r="C19" s="5" t="s">
        <v>116</v>
      </c>
      <c r="D19" s="5" t="s">
        <v>898</v>
      </c>
      <c r="E19" s="5" t="s">
        <v>899</v>
      </c>
      <c r="F19" s="5" t="s">
        <v>897</v>
      </c>
    </row>
    <row r="20" customFormat="false" ht="15" hidden="false" customHeight="true" outlineLevel="0" collapsed="false">
      <c r="A20" s="9" t="n">
        <v>19</v>
      </c>
      <c r="B20" s="5" t="s">
        <v>6</v>
      </c>
      <c r="C20" s="5" t="s">
        <v>125</v>
      </c>
      <c r="D20" s="5" t="s">
        <v>908</v>
      </c>
      <c r="E20" s="5" t="s">
        <v>907</v>
      </c>
      <c r="F20" s="5" t="s">
        <v>902</v>
      </c>
    </row>
    <row r="21" customFormat="false" ht="15" hidden="false" customHeight="true" outlineLevel="0" collapsed="false">
      <c r="A21" s="9" t="n">
        <v>20</v>
      </c>
      <c r="B21" s="5" t="s">
        <v>6</v>
      </c>
      <c r="C21" s="5" t="s">
        <v>125</v>
      </c>
      <c r="D21" s="5" t="s">
        <v>895</v>
      </c>
      <c r="E21" s="5" t="s">
        <v>896</v>
      </c>
      <c r="F21" s="5" t="s">
        <v>897</v>
      </c>
    </row>
    <row r="22" customFormat="false" ht="15" hidden="false" customHeight="true" outlineLevel="0" collapsed="false">
      <c r="A22" s="9" t="n">
        <v>21</v>
      </c>
      <c r="B22" s="5" t="s">
        <v>6</v>
      </c>
      <c r="C22" s="5" t="s">
        <v>125</v>
      </c>
      <c r="D22" s="5" t="s">
        <v>898</v>
      </c>
      <c r="E22" s="5" t="s">
        <v>899</v>
      </c>
      <c r="F22" s="5" t="s">
        <v>897</v>
      </c>
    </row>
    <row r="23" customFormat="false" ht="15" hidden="false" customHeight="true" outlineLevel="0" collapsed="false">
      <c r="A23" s="9" t="n">
        <v>22</v>
      </c>
      <c r="B23" s="5" t="s">
        <v>6</v>
      </c>
      <c r="C23" s="5" t="s">
        <v>134</v>
      </c>
      <c r="D23" s="5" t="s">
        <v>906</v>
      </c>
      <c r="E23" s="5" t="s">
        <v>907</v>
      </c>
      <c r="F23" s="5" t="s">
        <v>902</v>
      </c>
    </row>
    <row r="24" customFormat="false" ht="23.25" hidden="false" customHeight="true" outlineLevel="0" collapsed="false">
      <c r="A24" s="9" t="n">
        <v>23</v>
      </c>
      <c r="B24" s="5" t="s">
        <v>6</v>
      </c>
      <c r="C24" s="5" t="s">
        <v>909</v>
      </c>
      <c r="D24" s="5" t="s">
        <v>910</v>
      </c>
      <c r="E24" s="5" t="s">
        <v>911</v>
      </c>
      <c r="F24" s="5" t="s">
        <v>912</v>
      </c>
    </row>
    <row r="25" customFormat="false" ht="15" hidden="false" customHeight="true" outlineLevel="0" collapsed="false">
      <c r="A25" s="9" t="n">
        <v>24</v>
      </c>
      <c r="B25" s="5" t="s">
        <v>6</v>
      </c>
      <c r="C25" s="5" t="s">
        <v>116</v>
      </c>
      <c r="D25" s="5" t="s">
        <v>913</v>
      </c>
      <c r="E25" s="5" t="s">
        <v>913</v>
      </c>
      <c r="F25" s="5" t="s">
        <v>914</v>
      </c>
    </row>
    <row r="26" customFormat="false" ht="15" hidden="false" customHeight="true" outlineLevel="0" collapsed="false">
      <c r="A26" s="9" t="n">
        <v>25</v>
      </c>
      <c r="B26" s="5" t="s">
        <v>6</v>
      </c>
      <c r="C26" s="5" t="s">
        <v>125</v>
      </c>
      <c r="D26" s="5" t="s">
        <v>915</v>
      </c>
      <c r="E26" s="5" t="s">
        <v>915</v>
      </c>
      <c r="F26" s="5" t="s">
        <v>914</v>
      </c>
    </row>
    <row r="27" customFormat="false" ht="15" hidden="false" customHeight="true" outlineLevel="0" collapsed="false">
      <c r="A27" s="9" t="n">
        <v>26</v>
      </c>
      <c r="B27" s="5" t="s">
        <v>6</v>
      </c>
      <c r="C27" s="5" t="s">
        <v>134</v>
      </c>
      <c r="D27" s="5" t="s">
        <v>916</v>
      </c>
      <c r="E27" s="5" t="s">
        <v>916</v>
      </c>
      <c r="F27" s="5" t="s">
        <v>914</v>
      </c>
    </row>
    <row r="28" customFormat="false" ht="23.25" hidden="false" customHeight="true" outlineLevel="0" collapsed="false">
      <c r="A28" s="9" t="n">
        <v>27</v>
      </c>
      <c r="B28" s="5" t="s">
        <v>917</v>
      </c>
      <c r="C28" s="5" t="s">
        <v>909</v>
      </c>
      <c r="D28" s="5" t="s">
        <v>918</v>
      </c>
      <c r="E28" s="5" t="s">
        <v>4</v>
      </c>
      <c r="F28" s="5" t="s">
        <v>919</v>
      </c>
    </row>
    <row r="29" customFormat="false" ht="23.25" hidden="false" customHeight="true" outlineLevel="0" collapsed="false">
      <c r="A29" s="9" t="n">
        <v>28</v>
      </c>
      <c r="B29" s="5" t="s">
        <v>20</v>
      </c>
      <c r="C29" s="5" t="s">
        <v>500</v>
      </c>
      <c r="D29" s="5" t="s">
        <v>920</v>
      </c>
      <c r="E29" s="5" t="s">
        <v>921</v>
      </c>
      <c r="F29" s="5" t="s">
        <v>922</v>
      </c>
    </row>
    <row r="30" customFormat="false" ht="23.25" hidden="false" customHeight="true" outlineLevel="0" collapsed="false">
      <c r="A30" s="9" t="n">
        <v>29</v>
      </c>
      <c r="B30" s="5" t="s">
        <v>20</v>
      </c>
      <c r="C30" s="5" t="s">
        <v>500</v>
      </c>
      <c r="D30" s="5" t="s">
        <v>923</v>
      </c>
      <c r="E30" s="5" t="s">
        <v>924</v>
      </c>
      <c r="F30" s="5" t="s">
        <v>925</v>
      </c>
    </row>
    <row r="31" customFormat="false" ht="15" hidden="false" customHeight="true" outlineLevel="0" collapsed="false">
      <c r="A31" s="9" t="n">
        <v>30</v>
      </c>
      <c r="B31" s="5" t="s">
        <v>20</v>
      </c>
      <c r="C31" s="5" t="s">
        <v>500</v>
      </c>
      <c r="D31" s="5" t="s">
        <v>926</v>
      </c>
      <c r="E31" s="5" t="s">
        <v>506</v>
      </c>
      <c r="F31" s="5" t="s">
        <v>927</v>
      </c>
    </row>
    <row r="32" customFormat="false" ht="23.25" hidden="false" customHeight="true" outlineLevel="0" collapsed="false">
      <c r="A32" s="9" t="n">
        <v>31</v>
      </c>
      <c r="B32" s="5" t="s">
        <v>20</v>
      </c>
      <c r="C32" s="5" t="s">
        <v>500</v>
      </c>
      <c r="D32" s="5" t="s">
        <v>928</v>
      </c>
      <c r="E32" s="5" t="s">
        <v>929</v>
      </c>
      <c r="F32" s="5" t="s">
        <v>930</v>
      </c>
    </row>
    <row r="33" customFormat="false" ht="157.5" hidden="false" customHeight="true" outlineLevel="0" collapsed="false">
      <c r="A33" s="9" t="n">
        <v>32</v>
      </c>
      <c r="B33" s="5" t="s">
        <v>20</v>
      </c>
      <c r="C33" s="5" t="s">
        <v>500</v>
      </c>
      <c r="D33" s="5" t="s">
        <v>931</v>
      </c>
      <c r="E33" s="5" t="s">
        <v>932</v>
      </c>
      <c r="F33" s="5" t="s">
        <v>933</v>
      </c>
    </row>
    <row r="34" customFormat="false" ht="23.25" hidden="false" customHeight="true" outlineLevel="0" collapsed="false">
      <c r="A34" s="9" t="n">
        <v>33</v>
      </c>
      <c r="B34" s="5" t="s">
        <v>20</v>
      </c>
      <c r="C34" s="5" t="s">
        <v>500</v>
      </c>
      <c r="D34" s="5" t="s">
        <v>934</v>
      </c>
      <c r="E34" s="5" t="s">
        <v>935</v>
      </c>
      <c r="F34" s="5" t="s">
        <v>936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2026-10-01T12:38:46Z</dcterms:created>
  <dc:creator>openpyxl</dc:creator>
  <dc:description/>
  <dc:language>en-US</dc:language>
  <cp:lastModifiedBy/>
  <dcterms:modified xsi:type="dcterms:W3CDTF">2026-10-01T15:12:18Z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